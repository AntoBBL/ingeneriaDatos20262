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ba973d42df11d4b/Bureau/epf/cours/4 annee/S1_ internatio/inge datos/"/>
    </mc:Choice>
  </mc:AlternateContent>
  <xr:revisionPtr revIDLastSave="12" documentId="11_4769AF131634CAE6057D0F78681F049396D7F67D" xr6:coauthVersionLast="47" xr6:coauthVersionMax="47" xr10:uidLastSave="{421174A3-0844-46A0-BD88-5399F4FC37ED}"/>
  <bookViews>
    <workbookView xWindow="-108" yWindow="-108" windowWidth="23256" windowHeight="12456" tabRatio="500" activeTab="3" xr2:uid="{00000000-000D-0000-FFFF-FFFF00000000}"/>
  </bookViews>
  <sheets>
    <sheet name="Billetes_Brutos" sheetId="1" r:id="rId1"/>
    <sheet name="Analisis_Formulas" sheetId="2" r:id="rId2"/>
    <sheet name="Referencias" sheetId="3" r:id="rId3"/>
    <sheet name="Billetes_Limpio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2" l="1"/>
  <c r="M141" i="4"/>
  <c r="L141" i="4"/>
  <c r="K141" i="4"/>
  <c r="I141" i="4"/>
  <c r="H141" i="4"/>
  <c r="G141" i="4"/>
  <c r="F141" i="4"/>
  <c r="E141" i="4"/>
  <c r="D141" i="4"/>
  <c r="C141" i="4"/>
  <c r="B141" i="4"/>
  <c r="A141" i="4"/>
  <c r="M140" i="4"/>
  <c r="L140" i="4"/>
  <c r="K140" i="4"/>
  <c r="I140" i="4"/>
  <c r="H140" i="4"/>
  <c r="G140" i="4"/>
  <c r="F140" i="4"/>
  <c r="E140" i="4"/>
  <c r="D140" i="4"/>
  <c r="C140" i="4"/>
  <c r="B140" i="4"/>
  <c r="A140" i="4"/>
  <c r="M139" i="4"/>
  <c r="L139" i="4"/>
  <c r="K139" i="4"/>
  <c r="I139" i="4"/>
  <c r="H139" i="4"/>
  <c r="G139" i="4"/>
  <c r="F139" i="4"/>
  <c r="E139" i="4"/>
  <c r="D139" i="4"/>
  <c r="C139" i="4"/>
  <c r="B139" i="4"/>
  <c r="A139" i="4"/>
  <c r="M138" i="4"/>
  <c r="L138" i="4"/>
  <c r="K138" i="4"/>
  <c r="I138" i="4"/>
  <c r="H138" i="4"/>
  <c r="G138" i="4"/>
  <c r="F138" i="4"/>
  <c r="E138" i="4"/>
  <c r="D138" i="4"/>
  <c r="C138" i="4"/>
  <c r="B138" i="4"/>
  <c r="A138" i="4"/>
  <c r="M137" i="4"/>
  <c r="L137" i="4"/>
  <c r="K137" i="4"/>
  <c r="I137" i="4"/>
  <c r="H137" i="4"/>
  <c r="G137" i="4"/>
  <c r="F137" i="4"/>
  <c r="E137" i="4"/>
  <c r="D137" i="4"/>
  <c r="C137" i="4"/>
  <c r="B137" i="4"/>
  <c r="A137" i="4"/>
  <c r="M136" i="4"/>
  <c r="L136" i="4"/>
  <c r="K136" i="4"/>
  <c r="I136" i="4"/>
  <c r="H136" i="4"/>
  <c r="G136" i="4"/>
  <c r="F136" i="4"/>
  <c r="E136" i="4"/>
  <c r="D136" i="4"/>
  <c r="C136" i="4"/>
  <c r="B136" i="4"/>
  <c r="A136" i="4"/>
  <c r="M135" i="4"/>
  <c r="L135" i="4"/>
  <c r="K135" i="4"/>
  <c r="I135" i="4"/>
  <c r="H135" i="4"/>
  <c r="G135" i="4"/>
  <c r="F135" i="4"/>
  <c r="E135" i="4"/>
  <c r="D135" i="4"/>
  <c r="C135" i="4"/>
  <c r="B135" i="4"/>
  <c r="A135" i="4"/>
  <c r="M134" i="4"/>
  <c r="L134" i="4"/>
  <c r="K134" i="4"/>
  <c r="I134" i="4"/>
  <c r="H134" i="4"/>
  <c r="G134" i="4"/>
  <c r="F134" i="4"/>
  <c r="E134" i="4"/>
  <c r="D134" i="4"/>
  <c r="C134" i="4"/>
  <c r="B134" i="4"/>
  <c r="A134" i="4"/>
  <c r="M133" i="4"/>
  <c r="L133" i="4"/>
  <c r="K133" i="4"/>
  <c r="I133" i="4"/>
  <c r="H133" i="4"/>
  <c r="G133" i="4"/>
  <c r="F133" i="4"/>
  <c r="E133" i="4"/>
  <c r="D133" i="4"/>
  <c r="C133" i="4"/>
  <c r="B133" i="4"/>
  <c r="A133" i="4"/>
  <c r="M132" i="4"/>
  <c r="L132" i="4"/>
  <c r="K132" i="4"/>
  <c r="I132" i="4"/>
  <c r="H132" i="4"/>
  <c r="G132" i="4"/>
  <c r="F132" i="4"/>
  <c r="E132" i="4"/>
  <c r="D132" i="4"/>
  <c r="C132" i="4"/>
  <c r="B132" i="4"/>
  <c r="A132" i="4"/>
  <c r="M131" i="4"/>
  <c r="L131" i="4"/>
  <c r="K131" i="4"/>
  <c r="I131" i="4"/>
  <c r="H131" i="4"/>
  <c r="G131" i="4"/>
  <c r="F131" i="4"/>
  <c r="E131" i="4"/>
  <c r="D131" i="4"/>
  <c r="C131" i="4"/>
  <c r="B131" i="4"/>
  <c r="A131" i="4"/>
  <c r="M130" i="4"/>
  <c r="L130" i="4"/>
  <c r="K130" i="4"/>
  <c r="I130" i="4"/>
  <c r="H130" i="4"/>
  <c r="G130" i="4"/>
  <c r="F130" i="4"/>
  <c r="E130" i="4"/>
  <c r="D130" i="4"/>
  <c r="C130" i="4"/>
  <c r="B130" i="4"/>
  <c r="A130" i="4"/>
  <c r="M129" i="4"/>
  <c r="L129" i="4"/>
  <c r="K129" i="4"/>
  <c r="I129" i="4"/>
  <c r="H129" i="4"/>
  <c r="G129" i="4"/>
  <c r="F129" i="4"/>
  <c r="E129" i="4"/>
  <c r="D129" i="4"/>
  <c r="C129" i="4"/>
  <c r="B129" i="4"/>
  <c r="A129" i="4"/>
  <c r="M128" i="4"/>
  <c r="L128" i="4"/>
  <c r="K128" i="4"/>
  <c r="I128" i="4"/>
  <c r="H128" i="4"/>
  <c r="G128" i="4"/>
  <c r="F128" i="4"/>
  <c r="E128" i="4"/>
  <c r="D128" i="4"/>
  <c r="C128" i="4"/>
  <c r="B128" i="4"/>
  <c r="A128" i="4"/>
  <c r="M127" i="4"/>
  <c r="L127" i="4"/>
  <c r="K127" i="4"/>
  <c r="I127" i="4"/>
  <c r="H127" i="4"/>
  <c r="G127" i="4"/>
  <c r="F127" i="4"/>
  <c r="E127" i="4"/>
  <c r="D127" i="4"/>
  <c r="C127" i="4"/>
  <c r="B127" i="4"/>
  <c r="A127" i="4"/>
  <c r="M126" i="4"/>
  <c r="L126" i="4"/>
  <c r="K126" i="4"/>
  <c r="I126" i="4"/>
  <c r="H126" i="4"/>
  <c r="G126" i="4"/>
  <c r="F126" i="4"/>
  <c r="E126" i="4"/>
  <c r="D126" i="4"/>
  <c r="C126" i="4"/>
  <c r="B126" i="4"/>
  <c r="A126" i="4"/>
  <c r="M125" i="4"/>
  <c r="L125" i="4"/>
  <c r="K125" i="4"/>
  <c r="I125" i="4"/>
  <c r="H125" i="4"/>
  <c r="G125" i="4"/>
  <c r="F125" i="4"/>
  <c r="E125" i="4"/>
  <c r="D125" i="4"/>
  <c r="C125" i="4"/>
  <c r="B125" i="4"/>
  <c r="A125" i="4"/>
  <c r="M124" i="4"/>
  <c r="L124" i="4"/>
  <c r="K124" i="4"/>
  <c r="I124" i="4"/>
  <c r="H124" i="4"/>
  <c r="G124" i="4"/>
  <c r="F124" i="4"/>
  <c r="E124" i="4"/>
  <c r="D124" i="4"/>
  <c r="C124" i="4"/>
  <c r="B124" i="4"/>
  <c r="A124" i="4"/>
  <c r="M123" i="4"/>
  <c r="L123" i="4"/>
  <c r="K123" i="4"/>
  <c r="I123" i="4"/>
  <c r="H123" i="4"/>
  <c r="G123" i="4"/>
  <c r="F123" i="4"/>
  <c r="E123" i="4"/>
  <c r="D123" i="4"/>
  <c r="C123" i="4"/>
  <c r="B123" i="4"/>
  <c r="A123" i="4"/>
  <c r="M122" i="4"/>
  <c r="L122" i="4"/>
  <c r="K122" i="4"/>
  <c r="I122" i="4"/>
  <c r="H122" i="4"/>
  <c r="G122" i="4"/>
  <c r="F122" i="4"/>
  <c r="E122" i="4"/>
  <c r="D122" i="4"/>
  <c r="C122" i="4"/>
  <c r="B122" i="4"/>
  <c r="A122" i="4"/>
  <c r="M121" i="4"/>
  <c r="L121" i="4"/>
  <c r="K121" i="4"/>
  <c r="I121" i="4"/>
  <c r="H121" i="4"/>
  <c r="G121" i="4"/>
  <c r="F121" i="4"/>
  <c r="E121" i="4"/>
  <c r="D121" i="4"/>
  <c r="C121" i="4"/>
  <c r="B121" i="4"/>
  <c r="A121" i="4"/>
  <c r="M120" i="4"/>
  <c r="L120" i="4"/>
  <c r="K120" i="4"/>
  <c r="I120" i="4"/>
  <c r="H120" i="4"/>
  <c r="G120" i="4"/>
  <c r="F120" i="4"/>
  <c r="E120" i="4"/>
  <c r="D120" i="4"/>
  <c r="C120" i="4"/>
  <c r="B120" i="4"/>
  <c r="A120" i="4"/>
  <c r="M119" i="4"/>
  <c r="L119" i="4"/>
  <c r="K119" i="4"/>
  <c r="I119" i="4"/>
  <c r="H119" i="4"/>
  <c r="G119" i="4"/>
  <c r="F119" i="4"/>
  <c r="E119" i="4"/>
  <c r="D119" i="4"/>
  <c r="C119" i="4"/>
  <c r="B119" i="4"/>
  <c r="A119" i="4"/>
  <c r="M118" i="4"/>
  <c r="L118" i="4"/>
  <c r="K118" i="4"/>
  <c r="I118" i="4"/>
  <c r="H118" i="4"/>
  <c r="G118" i="4"/>
  <c r="F118" i="4"/>
  <c r="E118" i="4"/>
  <c r="D118" i="4"/>
  <c r="C118" i="4"/>
  <c r="B118" i="4"/>
  <c r="A118" i="4"/>
  <c r="M117" i="4"/>
  <c r="L117" i="4"/>
  <c r="K117" i="4"/>
  <c r="I117" i="4"/>
  <c r="H117" i="4"/>
  <c r="G117" i="4"/>
  <c r="F117" i="4"/>
  <c r="E117" i="4"/>
  <c r="D117" i="4"/>
  <c r="C117" i="4"/>
  <c r="B117" i="4"/>
  <c r="A117" i="4"/>
  <c r="M116" i="4"/>
  <c r="L116" i="4"/>
  <c r="K116" i="4"/>
  <c r="I116" i="4"/>
  <c r="H116" i="4"/>
  <c r="G116" i="4"/>
  <c r="F116" i="4"/>
  <c r="E116" i="4"/>
  <c r="D116" i="4"/>
  <c r="C116" i="4"/>
  <c r="B116" i="4"/>
  <c r="A116" i="4"/>
  <c r="M115" i="4"/>
  <c r="L115" i="4"/>
  <c r="K115" i="4"/>
  <c r="I115" i="4"/>
  <c r="H115" i="4"/>
  <c r="G115" i="4"/>
  <c r="F115" i="4"/>
  <c r="E115" i="4"/>
  <c r="D115" i="4"/>
  <c r="C115" i="4"/>
  <c r="B115" i="4"/>
  <c r="A115" i="4"/>
  <c r="M114" i="4"/>
  <c r="L114" i="4"/>
  <c r="K114" i="4"/>
  <c r="I114" i="4"/>
  <c r="H114" i="4"/>
  <c r="G114" i="4"/>
  <c r="F114" i="4"/>
  <c r="E114" i="4"/>
  <c r="D114" i="4"/>
  <c r="C114" i="4"/>
  <c r="B114" i="4"/>
  <c r="A114" i="4"/>
  <c r="M113" i="4"/>
  <c r="L113" i="4"/>
  <c r="K113" i="4"/>
  <c r="I113" i="4"/>
  <c r="H113" i="4"/>
  <c r="G113" i="4"/>
  <c r="F113" i="4"/>
  <c r="E113" i="4"/>
  <c r="D113" i="4"/>
  <c r="C113" i="4"/>
  <c r="B113" i="4"/>
  <c r="A113" i="4"/>
  <c r="M112" i="4"/>
  <c r="L112" i="4"/>
  <c r="K112" i="4"/>
  <c r="I112" i="4"/>
  <c r="H112" i="4"/>
  <c r="G112" i="4"/>
  <c r="F112" i="4"/>
  <c r="E112" i="4"/>
  <c r="D112" i="4"/>
  <c r="C112" i="4"/>
  <c r="B112" i="4"/>
  <c r="A112" i="4"/>
  <c r="M111" i="4"/>
  <c r="L111" i="4"/>
  <c r="K111" i="4"/>
  <c r="I111" i="4"/>
  <c r="H111" i="4"/>
  <c r="G111" i="4"/>
  <c r="F111" i="4"/>
  <c r="E111" i="4"/>
  <c r="D111" i="4"/>
  <c r="C111" i="4"/>
  <c r="B111" i="4"/>
  <c r="A111" i="4"/>
  <c r="M110" i="4"/>
  <c r="L110" i="4"/>
  <c r="K110" i="4"/>
  <c r="I110" i="4"/>
  <c r="H110" i="4"/>
  <c r="G110" i="4"/>
  <c r="F110" i="4"/>
  <c r="E110" i="4"/>
  <c r="D110" i="4"/>
  <c r="C110" i="4"/>
  <c r="B110" i="4"/>
  <c r="A110" i="4"/>
  <c r="M109" i="4"/>
  <c r="L109" i="4"/>
  <c r="K109" i="4"/>
  <c r="I109" i="4"/>
  <c r="H109" i="4"/>
  <c r="G109" i="4"/>
  <c r="F109" i="4"/>
  <c r="E109" i="4"/>
  <c r="D109" i="4"/>
  <c r="C109" i="4"/>
  <c r="B109" i="4"/>
  <c r="A109" i="4"/>
  <c r="M108" i="4"/>
  <c r="L108" i="4"/>
  <c r="K108" i="4"/>
  <c r="I108" i="4"/>
  <c r="H108" i="4"/>
  <c r="G108" i="4"/>
  <c r="F108" i="4"/>
  <c r="E108" i="4"/>
  <c r="D108" i="4"/>
  <c r="C108" i="4"/>
  <c r="B108" i="4"/>
  <c r="A108" i="4"/>
  <c r="M107" i="4"/>
  <c r="L107" i="4"/>
  <c r="K107" i="4"/>
  <c r="I107" i="4"/>
  <c r="H107" i="4"/>
  <c r="G107" i="4"/>
  <c r="F107" i="4"/>
  <c r="E107" i="4"/>
  <c r="D107" i="4"/>
  <c r="C107" i="4"/>
  <c r="B107" i="4"/>
  <c r="A107" i="4"/>
  <c r="M106" i="4"/>
  <c r="L106" i="4"/>
  <c r="K106" i="4"/>
  <c r="I106" i="4"/>
  <c r="H106" i="4"/>
  <c r="G106" i="4"/>
  <c r="F106" i="4"/>
  <c r="E106" i="4"/>
  <c r="D106" i="4"/>
  <c r="C106" i="4"/>
  <c r="B106" i="4"/>
  <c r="A106" i="4"/>
  <c r="M105" i="4"/>
  <c r="L105" i="4"/>
  <c r="K105" i="4"/>
  <c r="I105" i="4"/>
  <c r="H105" i="4"/>
  <c r="G105" i="4"/>
  <c r="F105" i="4"/>
  <c r="E105" i="4"/>
  <c r="D105" i="4"/>
  <c r="C105" i="4"/>
  <c r="B105" i="4"/>
  <c r="A105" i="4"/>
  <c r="M104" i="4"/>
  <c r="L104" i="4"/>
  <c r="K104" i="4"/>
  <c r="I104" i="4"/>
  <c r="H104" i="4"/>
  <c r="G104" i="4"/>
  <c r="F104" i="4"/>
  <c r="E104" i="4"/>
  <c r="D104" i="4"/>
  <c r="C104" i="4"/>
  <c r="B104" i="4"/>
  <c r="A104" i="4"/>
  <c r="M103" i="4"/>
  <c r="L103" i="4"/>
  <c r="K103" i="4"/>
  <c r="I103" i="4"/>
  <c r="H103" i="4"/>
  <c r="G103" i="4"/>
  <c r="F103" i="4"/>
  <c r="E103" i="4"/>
  <c r="D103" i="4"/>
  <c r="C103" i="4"/>
  <c r="B103" i="4"/>
  <c r="A103" i="4"/>
  <c r="M102" i="4"/>
  <c r="L102" i="4"/>
  <c r="K102" i="4"/>
  <c r="I102" i="4"/>
  <c r="H102" i="4"/>
  <c r="G102" i="4"/>
  <c r="F102" i="4"/>
  <c r="E102" i="4"/>
  <c r="D102" i="4"/>
  <c r="C102" i="4"/>
  <c r="B102" i="4"/>
  <c r="A102" i="4"/>
  <c r="M101" i="4"/>
  <c r="L101" i="4"/>
  <c r="K101" i="4"/>
  <c r="I101" i="4"/>
  <c r="H101" i="4"/>
  <c r="G101" i="4"/>
  <c r="F101" i="4"/>
  <c r="E101" i="4"/>
  <c r="D101" i="4"/>
  <c r="C101" i="4"/>
  <c r="B101" i="4"/>
  <c r="A101" i="4"/>
  <c r="M100" i="4"/>
  <c r="L100" i="4"/>
  <c r="K100" i="4"/>
  <c r="I100" i="4"/>
  <c r="H100" i="4"/>
  <c r="G100" i="4"/>
  <c r="F100" i="4"/>
  <c r="E100" i="4"/>
  <c r="D100" i="4"/>
  <c r="C100" i="4"/>
  <c r="B100" i="4"/>
  <c r="A100" i="4"/>
  <c r="M99" i="4"/>
  <c r="L99" i="4"/>
  <c r="K99" i="4"/>
  <c r="I99" i="4"/>
  <c r="H99" i="4"/>
  <c r="G99" i="4"/>
  <c r="F99" i="4"/>
  <c r="E99" i="4"/>
  <c r="D99" i="4"/>
  <c r="C99" i="4"/>
  <c r="B99" i="4"/>
  <c r="A99" i="4"/>
  <c r="M98" i="4"/>
  <c r="L98" i="4"/>
  <c r="K98" i="4"/>
  <c r="I98" i="4"/>
  <c r="H98" i="4"/>
  <c r="G98" i="4"/>
  <c r="F98" i="4"/>
  <c r="E98" i="4"/>
  <c r="D98" i="4"/>
  <c r="C98" i="4"/>
  <c r="B98" i="4"/>
  <c r="A98" i="4"/>
  <c r="M97" i="4"/>
  <c r="L97" i="4"/>
  <c r="K97" i="4"/>
  <c r="I97" i="4"/>
  <c r="H97" i="4"/>
  <c r="G97" i="4"/>
  <c r="F97" i="4"/>
  <c r="E97" i="4"/>
  <c r="D97" i="4"/>
  <c r="C97" i="4"/>
  <c r="B97" i="4"/>
  <c r="A97" i="4"/>
  <c r="M96" i="4"/>
  <c r="L96" i="4"/>
  <c r="K96" i="4"/>
  <c r="I96" i="4"/>
  <c r="H96" i="4"/>
  <c r="G96" i="4"/>
  <c r="F96" i="4"/>
  <c r="E96" i="4"/>
  <c r="D96" i="4"/>
  <c r="C96" i="4"/>
  <c r="B96" i="4"/>
  <c r="A96" i="4"/>
  <c r="M95" i="4"/>
  <c r="L95" i="4"/>
  <c r="K95" i="4"/>
  <c r="I95" i="4"/>
  <c r="H95" i="4"/>
  <c r="G95" i="4"/>
  <c r="F95" i="4"/>
  <c r="E95" i="4"/>
  <c r="D95" i="4"/>
  <c r="C95" i="4"/>
  <c r="B95" i="4"/>
  <c r="A95" i="4"/>
  <c r="M94" i="4"/>
  <c r="L94" i="4"/>
  <c r="K94" i="4"/>
  <c r="I94" i="4"/>
  <c r="H94" i="4"/>
  <c r="G94" i="4"/>
  <c r="F94" i="4"/>
  <c r="E94" i="4"/>
  <c r="D94" i="4"/>
  <c r="C94" i="4"/>
  <c r="B94" i="4"/>
  <c r="A94" i="4"/>
  <c r="M93" i="4"/>
  <c r="L93" i="4"/>
  <c r="K93" i="4"/>
  <c r="I93" i="4"/>
  <c r="H93" i="4"/>
  <c r="G93" i="4"/>
  <c r="F93" i="4"/>
  <c r="E93" i="4"/>
  <c r="D93" i="4"/>
  <c r="C93" i="4"/>
  <c r="B93" i="4"/>
  <c r="A93" i="4"/>
  <c r="M92" i="4"/>
  <c r="L92" i="4"/>
  <c r="K92" i="4"/>
  <c r="I92" i="4"/>
  <c r="H92" i="4"/>
  <c r="G92" i="4"/>
  <c r="F92" i="4"/>
  <c r="E92" i="4"/>
  <c r="D92" i="4"/>
  <c r="C92" i="4"/>
  <c r="B92" i="4"/>
  <c r="A92" i="4"/>
  <c r="M91" i="4"/>
  <c r="L91" i="4"/>
  <c r="K91" i="4"/>
  <c r="I91" i="4"/>
  <c r="H91" i="4"/>
  <c r="G91" i="4"/>
  <c r="F91" i="4"/>
  <c r="E91" i="4"/>
  <c r="D91" i="4"/>
  <c r="C91" i="4"/>
  <c r="B91" i="4"/>
  <c r="A91" i="4"/>
  <c r="M90" i="4"/>
  <c r="L90" i="4"/>
  <c r="K90" i="4"/>
  <c r="I90" i="4"/>
  <c r="H90" i="4"/>
  <c r="G90" i="4"/>
  <c r="F90" i="4"/>
  <c r="E90" i="4"/>
  <c r="D90" i="4"/>
  <c r="C90" i="4"/>
  <c r="B90" i="4"/>
  <c r="A90" i="4"/>
  <c r="M89" i="4"/>
  <c r="L89" i="4"/>
  <c r="K89" i="4"/>
  <c r="I89" i="4"/>
  <c r="H89" i="4"/>
  <c r="G89" i="4"/>
  <c r="F89" i="4"/>
  <c r="E89" i="4"/>
  <c r="D89" i="4"/>
  <c r="C89" i="4"/>
  <c r="B89" i="4"/>
  <c r="A89" i="4"/>
  <c r="M88" i="4"/>
  <c r="L88" i="4"/>
  <c r="K88" i="4"/>
  <c r="I88" i="4"/>
  <c r="H88" i="4"/>
  <c r="G88" i="4"/>
  <c r="F88" i="4"/>
  <c r="E88" i="4"/>
  <c r="D88" i="4"/>
  <c r="C88" i="4"/>
  <c r="B88" i="4"/>
  <c r="A88" i="4"/>
  <c r="M87" i="4"/>
  <c r="L87" i="4"/>
  <c r="K87" i="4"/>
  <c r="I87" i="4"/>
  <c r="H87" i="4"/>
  <c r="G87" i="4"/>
  <c r="F87" i="4"/>
  <c r="E87" i="4"/>
  <c r="D87" i="4"/>
  <c r="C87" i="4"/>
  <c r="B87" i="4"/>
  <c r="A87" i="4"/>
  <c r="M86" i="4"/>
  <c r="L86" i="4"/>
  <c r="K86" i="4"/>
  <c r="I86" i="4"/>
  <c r="H86" i="4"/>
  <c r="G86" i="4"/>
  <c r="F86" i="4"/>
  <c r="E86" i="4"/>
  <c r="D86" i="4"/>
  <c r="C86" i="4"/>
  <c r="B86" i="4"/>
  <c r="A86" i="4"/>
  <c r="M85" i="4"/>
  <c r="L85" i="4"/>
  <c r="K85" i="4"/>
  <c r="I85" i="4"/>
  <c r="H85" i="4"/>
  <c r="G85" i="4"/>
  <c r="F85" i="4"/>
  <c r="E85" i="4"/>
  <c r="D85" i="4"/>
  <c r="C85" i="4"/>
  <c r="B85" i="4"/>
  <c r="A85" i="4"/>
  <c r="M84" i="4"/>
  <c r="L84" i="4"/>
  <c r="K84" i="4"/>
  <c r="I84" i="4"/>
  <c r="H84" i="4"/>
  <c r="G84" i="4"/>
  <c r="F84" i="4"/>
  <c r="E84" i="4"/>
  <c r="D84" i="4"/>
  <c r="C84" i="4"/>
  <c r="B84" i="4"/>
  <c r="A84" i="4"/>
  <c r="M83" i="4"/>
  <c r="L83" i="4"/>
  <c r="K83" i="4"/>
  <c r="I83" i="4"/>
  <c r="H83" i="4"/>
  <c r="G83" i="4"/>
  <c r="F83" i="4"/>
  <c r="E83" i="4"/>
  <c r="D83" i="4"/>
  <c r="C83" i="4"/>
  <c r="B83" i="4"/>
  <c r="A83" i="4"/>
  <c r="M82" i="4"/>
  <c r="L82" i="4"/>
  <c r="K82" i="4"/>
  <c r="I82" i="4"/>
  <c r="H82" i="4"/>
  <c r="G82" i="4"/>
  <c r="F82" i="4"/>
  <c r="E82" i="4"/>
  <c r="D82" i="4"/>
  <c r="C82" i="4"/>
  <c r="B82" i="4"/>
  <c r="A82" i="4"/>
  <c r="M81" i="4"/>
  <c r="L81" i="4"/>
  <c r="K81" i="4"/>
  <c r="I81" i="4"/>
  <c r="H81" i="4"/>
  <c r="G81" i="4"/>
  <c r="F81" i="4"/>
  <c r="E81" i="4"/>
  <c r="D81" i="4"/>
  <c r="C81" i="4"/>
  <c r="B81" i="4"/>
  <c r="A81" i="4"/>
  <c r="M80" i="4"/>
  <c r="L80" i="4"/>
  <c r="K80" i="4"/>
  <c r="I80" i="4"/>
  <c r="H80" i="4"/>
  <c r="G80" i="4"/>
  <c r="F80" i="4"/>
  <c r="E80" i="4"/>
  <c r="D80" i="4"/>
  <c r="C80" i="4"/>
  <c r="B80" i="4"/>
  <c r="A80" i="4"/>
  <c r="M79" i="4"/>
  <c r="L79" i="4"/>
  <c r="K79" i="4"/>
  <c r="I79" i="4"/>
  <c r="H79" i="4"/>
  <c r="G79" i="4"/>
  <c r="F79" i="4"/>
  <c r="E79" i="4"/>
  <c r="D79" i="4"/>
  <c r="C79" i="4"/>
  <c r="B79" i="4"/>
  <c r="A79" i="4"/>
  <c r="M78" i="4"/>
  <c r="L78" i="4"/>
  <c r="K78" i="4"/>
  <c r="I78" i="4"/>
  <c r="H78" i="4"/>
  <c r="G78" i="4"/>
  <c r="F78" i="4"/>
  <c r="E78" i="4"/>
  <c r="D78" i="4"/>
  <c r="C78" i="4"/>
  <c r="B78" i="4"/>
  <c r="A78" i="4"/>
  <c r="M77" i="4"/>
  <c r="L77" i="4"/>
  <c r="K77" i="4"/>
  <c r="I77" i="4"/>
  <c r="H77" i="4"/>
  <c r="G77" i="4"/>
  <c r="F77" i="4"/>
  <c r="E77" i="4"/>
  <c r="D77" i="4"/>
  <c r="C77" i="4"/>
  <c r="B77" i="4"/>
  <c r="A77" i="4"/>
  <c r="M76" i="4"/>
  <c r="L76" i="4"/>
  <c r="K76" i="4"/>
  <c r="I76" i="4"/>
  <c r="H76" i="4"/>
  <c r="G76" i="4"/>
  <c r="F76" i="4"/>
  <c r="E76" i="4"/>
  <c r="D76" i="4"/>
  <c r="C76" i="4"/>
  <c r="B76" i="4"/>
  <c r="A76" i="4"/>
  <c r="M75" i="4"/>
  <c r="L75" i="4"/>
  <c r="K75" i="4"/>
  <c r="I75" i="4"/>
  <c r="H75" i="4"/>
  <c r="G75" i="4"/>
  <c r="F75" i="4"/>
  <c r="E75" i="4"/>
  <c r="D75" i="4"/>
  <c r="C75" i="4"/>
  <c r="B75" i="4"/>
  <c r="A75" i="4"/>
  <c r="M74" i="4"/>
  <c r="L74" i="4"/>
  <c r="K74" i="4"/>
  <c r="I74" i="4"/>
  <c r="H74" i="4"/>
  <c r="G74" i="4"/>
  <c r="F74" i="4"/>
  <c r="E74" i="4"/>
  <c r="D74" i="4"/>
  <c r="C74" i="4"/>
  <c r="B74" i="4"/>
  <c r="A74" i="4"/>
  <c r="M73" i="4"/>
  <c r="L73" i="4"/>
  <c r="K73" i="4"/>
  <c r="I73" i="4"/>
  <c r="H73" i="4"/>
  <c r="G73" i="4"/>
  <c r="F73" i="4"/>
  <c r="E73" i="4"/>
  <c r="D73" i="4"/>
  <c r="C73" i="4"/>
  <c r="B73" i="4"/>
  <c r="A73" i="4"/>
  <c r="M72" i="4"/>
  <c r="L72" i="4"/>
  <c r="K72" i="4"/>
  <c r="I72" i="4"/>
  <c r="H72" i="4"/>
  <c r="G72" i="4"/>
  <c r="F72" i="4"/>
  <c r="E72" i="4"/>
  <c r="D72" i="4"/>
  <c r="C72" i="4"/>
  <c r="B72" i="4"/>
  <c r="A72" i="4"/>
  <c r="M71" i="4"/>
  <c r="L71" i="4"/>
  <c r="K71" i="4"/>
  <c r="I71" i="4"/>
  <c r="H71" i="4"/>
  <c r="G71" i="4"/>
  <c r="F71" i="4"/>
  <c r="E71" i="4"/>
  <c r="D71" i="4"/>
  <c r="C71" i="4"/>
  <c r="B71" i="4"/>
  <c r="A71" i="4"/>
  <c r="M70" i="4"/>
  <c r="L70" i="4"/>
  <c r="K70" i="4"/>
  <c r="I70" i="4"/>
  <c r="H70" i="4"/>
  <c r="G70" i="4"/>
  <c r="F70" i="4"/>
  <c r="E70" i="4"/>
  <c r="D70" i="4"/>
  <c r="C70" i="4"/>
  <c r="B70" i="4"/>
  <c r="A70" i="4"/>
  <c r="M69" i="4"/>
  <c r="L69" i="4"/>
  <c r="K69" i="4"/>
  <c r="I69" i="4"/>
  <c r="H69" i="4"/>
  <c r="G69" i="4"/>
  <c r="F69" i="4"/>
  <c r="E69" i="4"/>
  <c r="D69" i="4"/>
  <c r="C69" i="4"/>
  <c r="B69" i="4"/>
  <c r="A69" i="4"/>
  <c r="M68" i="4"/>
  <c r="L68" i="4"/>
  <c r="K68" i="4"/>
  <c r="I68" i="4"/>
  <c r="H68" i="4"/>
  <c r="G68" i="4"/>
  <c r="F68" i="4"/>
  <c r="E68" i="4"/>
  <c r="D68" i="4"/>
  <c r="C68" i="4"/>
  <c r="B68" i="4"/>
  <c r="A68" i="4"/>
  <c r="M67" i="4"/>
  <c r="L67" i="4"/>
  <c r="K67" i="4"/>
  <c r="I67" i="4"/>
  <c r="H67" i="4"/>
  <c r="G67" i="4"/>
  <c r="F67" i="4"/>
  <c r="E67" i="4"/>
  <c r="D67" i="4"/>
  <c r="C67" i="4"/>
  <c r="B67" i="4"/>
  <c r="A67" i="4"/>
  <c r="M66" i="4"/>
  <c r="L66" i="4"/>
  <c r="K66" i="4"/>
  <c r="I66" i="4"/>
  <c r="H66" i="4"/>
  <c r="G66" i="4"/>
  <c r="F66" i="4"/>
  <c r="E66" i="4"/>
  <c r="D66" i="4"/>
  <c r="C66" i="4"/>
  <c r="B66" i="4"/>
  <c r="A66" i="4"/>
  <c r="M65" i="4"/>
  <c r="L65" i="4"/>
  <c r="K65" i="4"/>
  <c r="I65" i="4"/>
  <c r="H65" i="4"/>
  <c r="G65" i="4"/>
  <c r="F65" i="4"/>
  <c r="E65" i="4"/>
  <c r="D65" i="4"/>
  <c r="C65" i="4"/>
  <c r="B65" i="4"/>
  <c r="A65" i="4"/>
  <c r="M64" i="4"/>
  <c r="L64" i="4"/>
  <c r="K64" i="4"/>
  <c r="I64" i="4"/>
  <c r="H64" i="4"/>
  <c r="G64" i="4"/>
  <c r="F64" i="4"/>
  <c r="E64" i="4"/>
  <c r="D64" i="4"/>
  <c r="C64" i="4"/>
  <c r="B64" i="4"/>
  <c r="A64" i="4"/>
  <c r="M63" i="4"/>
  <c r="L63" i="4"/>
  <c r="K63" i="4"/>
  <c r="I63" i="4"/>
  <c r="H63" i="4"/>
  <c r="G63" i="4"/>
  <c r="F63" i="4"/>
  <c r="E63" i="4"/>
  <c r="D63" i="4"/>
  <c r="C63" i="4"/>
  <c r="B63" i="4"/>
  <c r="A63" i="4"/>
  <c r="M62" i="4"/>
  <c r="L62" i="4"/>
  <c r="K62" i="4"/>
  <c r="I62" i="4"/>
  <c r="H62" i="4"/>
  <c r="G62" i="4"/>
  <c r="F62" i="4"/>
  <c r="E62" i="4"/>
  <c r="D62" i="4"/>
  <c r="C62" i="4"/>
  <c r="B62" i="4"/>
  <c r="A62" i="4"/>
  <c r="M61" i="4"/>
  <c r="L61" i="4"/>
  <c r="K61" i="4"/>
  <c r="I61" i="4"/>
  <c r="H61" i="4"/>
  <c r="G61" i="4"/>
  <c r="F61" i="4"/>
  <c r="E61" i="4"/>
  <c r="D61" i="4"/>
  <c r="C61" i="4"/>
  <c r="B61" i="4"/>
  <c r="A61" i="4"/>
  <c r="M60" i="4"/>
  <c r="L60" i="4"/>
  <c r="K60" i="4"/>
  <c r="I60" i="4"/>
  <c r="H60" i="4"/>
  <c r="G60" i="4"/>
  <c r="F60" i="4"/>
  <c r="E60" i="4"/>
  <c r="D60" i="4"/>
  <c r="C60" i="4"/>
  <c r="B60" i="4"/>
  <c r="A60" i="4"/>
  <c r="M59" i="4"/>
  <c r="L59" i="4"/>
  <c r="K59" i="4"/>
  <c r="I59" i="4"/>
  <c r="H59" i="4"/>
  <c r="G59" i="4"/>
  <c r="F59" i="4"/>
  <c r="E59" i="4"/>
  <c r="D59" i="4"/>
  <c r="C59" i="4"/>
  <c r="B59" i="4"/>
  <c r="A59" i="4"/>
  <c r="M58" i="4"/>
  <c r="L58" i="4"/>
  <c r="K58" i="4"/>
  <c r="I58" i="4"/>
  <c r="H58" i="4"/>
  <c r="G58" i="4"/>
  <c r="F58" i="4"/>
  <c r="E58" i="4"/>
  <c r="D58" i="4"/>
  <c r="C58" i="4"/>
  <c r="B58" i="4"/>
  <c r="A58" i="4"/>
  <c r="M57" i="4"/>
  <c r="L57" i="4"/>
  <c r="K57" i="4"/>
  <c r="I57" i="4"/>
  <c r="H57" i="4"/>
  <c r="G57" i="4"/>
  <c r="F57" i="4"/>
  <c r="E57" i="4"/>
  <c r="D57" i="4"/>
  <c r="C57" i="4"/>
  <c r="B57" i="4"/>
  <c r="A57" i="4"/>
  <c r="M56" i="4"/>
  <c r="L56" i="4"/>
  <c r="K56" i="4"/>
  <c r="I56" i="4"/>
  <c r="H56" i="4"/>
  <c r="G56" i="4"/>
  <c r="F56" i="4"/>
  <c r="E56" i="4"/>
  <c r="D56" i="4"/>
  <c r="C56" i="4"/>
  <c r="B56" i="4"/>
  <c r="A56" i="4"/>
  <c r="M55" i="4"/>
  <c r="L55" i="4"/>
  <c r="K55" i="4"/>
  <c r="I55" i="4"/>
  <c r="H55" i="4"/>
  <c r="G55" i="4"/>
  <c r="F55" i="4"/>
  <c r="E55" i="4"/>
  <c r="D55" i="4"/>
  <c r="C55" i="4"/>
  <c r="B55" i="4"/>
  <c r="A55" i="4"/>
  <c r="M54" i="4"/>
  <c r="L54" i="4"/>
  <c r="K54" i="4"/>
  <c r="I54" i="4"/>
  <c r="H54" i="4"/>
  <c r="G54" i="4"/>
  <c r="F54" i="4"/>
  <c r="E54" i="4"/>
  <c r="D54" i="4"/>
  <c r="C54" i="4"/>
  <c r="B54" i="4"/>
  <c r="A54" i="4"/>
  <c r="M53" i="4"/>
  <c r="L53" i="4"/>
  <c r="K53" i="4"/>
  <c r="I53" i="4"/>
  <c r="H53" i="4"/>
  <c r="G53" i="4"/>
  <c r="F53" i="4"/>
  <c r="E53" i="4"/>
  <c r="D53" i="4"/>
  <c r="C53" i="4"/>
  <c r="B53" i="4"/>
  <c r="A53" i="4"/>
  <c r="M52" i="4"/>
  <c r="L52" i="4"/>
  <c r="K52" i="4"/>
  <c r="I52" i="4"/>
  <c r="H52" i="4"/>
  <c r="G52" i="4"/>
  <c r="F52" i="4"/>
  <c r="E52" i="4"/>
  <c r="D52" i="4"/>
  <c r="C52" i="4"/>
  <c r="B52" i="4"/>
  <c r="A52" i="4"/>
  <c r="M51" i="4"/>
  <c r="L51" i="4"/>
  <c r="K51" i="4"/>
  <c r="I51" i="4"/>
  <c r="H51" i="4"/>
  <c r="G51" i="4"/>
  <c r="F51" i="4"/>
  <c r="E51" i="4"/>
  <c r="D51" i="4"/>
  <c r="C51" i="4"/>
  <c r="B51" i="4"/>
  <c r="A51" i="4"/>
  <c r="M50" i="4"/>
  <c r="L50" i="4"/>
  <c r="K50" i="4"/>
  <c r="I50" i="4"/>
  <c r="H50" i="4"/>
  <c r="G50" i="4"/>
  <c r="F50" i="4"/>
  <c r="E50" i="4"/>
  <c r="D50" i="4"/>
  <c r="C50" i="4"/>
  <c r="B50" i="4"/>
  <c r="A50" i="4"/>
  <c r="M49" i="4"/>
  <c r="L49" i="4"/>
  <c r="K49" i="4"/>
  <c r="I49" i="4"/>
  <c r="H49" i="4"/>
  <c r="G49" i="4"/>
  <c r="F49" i="4"/>
  <c r="E49" i="4"/>
  <c r="D49" i="4"/>
  <c r="C49" i="4"/>
  <c r="B49" i="4"/>
  <c r="A49" i="4"/>
  <c r="M48" i="4"/>
  <c r="L48" i="4"/>
  <c r="K48" i="4"/>
  <c r="I48" i="4"/>
  <c r="H48" i="4"/>
  <c r="G48" i="4"/>
  <c r="F48" i="4"/>
  <c r="E48" i="4"/>
  <c r="D48" i="4"/>
  <c r="C48" i="4"/>
  <c r="B48" i="4"/>
  <c r="A48" i="4"/>
  <c r="M47" i="4"/>
  <c r="L47" i="4"/>
  <c r="K47" i="4"/>
  <c r="I47" i="4"/>
  <c r="H47" i="4"/>
  <c r="G47" i="4"/>
  <c r="F47" i="4"/>
  <c r="E47" i="4"/>
  <c r="D47" i="4"/>
  <c r="C47" i="4"/>
  <c r="B47" i="4"/>
  <c r="A47" i="4"/>
  <c r="M46" i="4"/>
  <c r="L46" i="4"/>
  <c r="K46" i="4"/>
  <c r="I46" i="4"/>
  <c r="H46" i="4"/>
  <c r="G46" i="4"/>
  <c r="F46" i="4"/>
  <c r="E46" i="4"/>
  <c r="D46" i="4"/>
  <c r="C46" i="4"/>
  <c r="B46" i="4"/>
  <c r="A46" i="4"/>
  <c r="M45" i="4"/>
  <c r="L45" i="4"/>
  <c r="K45" i="4"/>
  <c r="I45" i="4"/>
  <c r="H45" i="4"/>
  <c r="G45" i="4"/>
  <c r="F45" i="4"/>
  <c r="E45" i="4"/>
  <c r="D45" i="4"/>
  <c r="C45" i="4"/>
  <c r="B45" i="4"/>
  <c r="A45" i="4"/>
  <c r="M44" i="4"/>
  <c r="L44" i="4"/>
  <c r="K44" i="4"/>
  <c r="I44" i="4"/>
  <c r="H44" i="4"/>
  <c r="G44" i="4"/>
  <c r="F44" i="4"/>
  <c r="E44" i="4"/>
  <c r="D44" i="4"/>
  <c r="C44" i="4"/>
  <c r="B44" i="4"/>
  <c r="A44" i="4"/>
  <c r="M43" i="4"/>
  <c r="L43" i="4"/>
  <c r="K43" i="4"/>
  <c r="I43" i="4"/>
  <c r="H43" i="4"/>
  <c r="G43" i="4"/>
  <c r="F43" i="4"/>
  <c r="E43" i="4"/>
  <c r="D43" i="4"/>
  <c r="C43" i="4"/>
  <c r="B43" i="4"/>
  <c r="A43" i="4"/>
  <c r="M42" i="4"/>
  <c r="L42" i="4"/>
  <c r="K42" i="4"/>
  <c r="I42" i="4"/>
  <c r="H42" i="4"/>
  <c r="G42" i="4"/>
  <c r="F42" i="4"/>
  <c r="E42" i="4"/>
  <c r="D42" i="4"/>
  <c r="C42" i="4"/>
  <c r="B42" i="4"/>
  <c r="A42" i="4"/>
  <c r="M41" i="4"/>
  <c r="L41" i="4"/>
  <c r="K41" i="4"/>
  <c r="I41" i="4"/>
  <c r="H41" i="4"/>
  <c r="G41" i="4"/>
  <c r="F41" i="4"/>
  <c r="E41" i="4"/>
  <c r="D41" i="4"/>
  <c r="C41" i="4"/>
  <c r="B41" i="4"/>
  <c r="A41" i="4"/>
  <c r="M40" i="4"/>
  <c r="L40" i="4"/>
  <c r="K40" i="4"/>
  <c r="I40" i="4"/>
  <c r="H40" i="4"/>
  <c r="G40" i="4"/>
  <c r="F40" i="4"/>
  <c r="E40" i="4"/>
  <c r="D40" i="4"/>
  <c r="C40" i="4"/>
  <c r="B40" i="4"/>
  <c r="A40" i="4"/>
  <c r="M39" i="4"/>
  <c r="L39" i="4"/>
  <c r="K39" i="4"/>
  <c r="I39" i="4"/>
  <c r="H39" i="4"/>
  <c r="G39" i="4"/>
  <c r="F39" i="4"/>
  <c r="E39" i="4"/>
  <c r="D39" i="4"/>
  <c r="C39" i="4"/>
  <c r="B39" i="4"/>
  <c r="A39" i="4"/>
  <c r="M38" i="4"/>
  <c r="L38" i="4"/>
  <c r="K38" i="4"/>
  <c r="I38" i="4"/>
  <c r="H38" i="4"/>
  <c r="G38" i="4"/>
  <c r="F38" i="4"/>
  <c r="E38" i="4"/>
  <c r="D38" i="4"/>
  <c r="C38" i="4"/>
  <c r="B38" i="4"/>
  <c r="A38" i="4"/>
  <c r="M37" i="4"/>
  <c r="L37" i="4"/>
  <c r="K37" i="4"/>
  <c r="I37" i="4"/>
  <c r="H37" i="4"/>
  <c r="G37" i="4"/>
  <c r="F37" i="4"/>
  <c r="E37" i="4"/>
  <c r="D37" i="4"/>
  <c r="C37" i="4"/>
  <c r="B37" i="4"/>
  <c r="A37" i="4"/>
  <c r="M36" i="4"/>
  <c r="L36" i="4"/>
  <c r="K36" i="4"/>
  <c r="I36" i="4"/>
  <c r="H36" i="4"/>
  <c r="G36" i="4"/>
  <c r="F36" i="4"/>
  <c r="E36" i="4"/>
  <c r="D36" i="4"/>
  <c r="C36" i="4"/>
  <c r="B36" i="4"/>
  <c r="A36" i="4"/>
  <c r="M35" i="4"/>
  <c r="L35" i="4"/>
  <c r="K35" i="4"/>
  <c r="I35" i="4"/>
  <c r="H35" i="4"/>
  <c r="G35" i="4"/>
  <c r="F35" i="4"/>
  <c r="E35" i="4"/>
  <c r="D35" i="4"/>
  <c r="C35" i="4"/>
  <c r="B35" i="4"/>
  <c r="A35" i="4"/>
  <c r="M34" i="4"/>
  <c r="L34" i="4"/>
  <c r="K34" i="4"/>
  <c r="I34" i="4"/>
  <c r="H34" i="4"/>
  <c r="G34" i="4"/>
  <c r="F34" i="4"/>
  <c r="E34" i="4"/>
  <c r="D34" i="4"/>
  <c r="C34" i="4"/>
  <c r="B34" i="4"/>
  <c r="A34" i="4"/>
  <c r="M33" i="4"/>
  <c r="L33" i="4"/>
  <c r="K33" i="4"/>
  <c r="I33" i="4"/>
  <c r="H33" i="4"/>
  <c r="G33" i="4"/>
  <c r="F33" i="4"/>
  <c r="E33" i="4"/>
  <c r="D33" i="4"/>
  <c r="C33" i="4"/>
  <c r="B33" i="4"/>
  <c r="A33" i="4"/>
  <c r="M32" i="4"/>
  <c r="L32" i="4"/>
  <c r="K32" i="4"/>
  <c r="I32" i="4"/>
  <c r="H32" i="4"/>
  <c r="G32" i="4"/>
  <c r="F32" i="4"/>
  <c r="E32" i="4"/>
  <c r="D32" i="4"/>
  <c r="C32" i="4"/>
  <c r="B32" i="4"/>
  <c r="A32" i="4"/>
  <c r="M31" i="4"/>
  <c r="L31" i="4"/>
  <c r="K31" i="4"/>
  <c r="I31" i="4"/>
  <c r="H31" i="4"/>
  <c r="G31" i="4"/>
  <c r="F31" i="4"/>
  <c r="E31" i="4"/>
  <c r="D31" i="4"/>
  <c r="C31" i="4"/>
  <c r="B31" i="4"/>
  <c r="A31" i="4"/>
  <c r="M30" i="4"/>
  <c r="L30" i="4"/>
  <c r="K30" i="4"/>
  <c r="I30" i="4"/>
  <c r="H30" i="4"/>
  <c r="G30" i="4"/>
  <c r="F30" i="4"/>
  <c r="E30" i="4"/>
  <c r="D30" i="4"/>
  <c r="C30" i="4"/>
  <c r="B30" i="4"/>
  <c r="A30" i="4"/>
  <c r="M29" i="4"/>
  <c r="L29" i="4"/>
  <c r="K29" i="4"/>
  <c r="I29" i="4"/>
  <c r="H29" i="4"/>
  <c r="G29" i="4"/>
  <c r="F29" i="4"/>
  <c r="E29" i="4"/>
  <c r="D29" i="4"/>
  <c r="C29" i="4"/>
  <c r="B29" i="4"/>
  <c r="A29" i="4"/>
  <c r="M28" i="4"/>
  <c r="L28" i="4"/>
  <c r="K28" i="4"/>
  <c r="I28" i="4"/>
  <c r="H28" i="4"/>
  <c r="G28" i="4"/>
  <c r="F28" i="4"/>
  <c r="E28" i="4"/>
  <c r="D28" i="4"/>
  <c r="C28" i="4"/>
  <c r="B28" i="4"/>
  <c r="A28" i="4"/>
  <c r="M27" i="4"/>
  <c r="L27" i="4"/>
  <c r="K27" i="4"/>
  <c r="I27" i="4"/>
  <c r="H27" i="4"/>
  <c r="G27" i="4"/>
  <c r="F27" i="4"/>
  <c r="E27" i="4"/>
  <c r="D27" i="4"/>
  <c r="C27" i="4"/>
  <c r="B27" i="4"/>
  <c r="A27" i="4"/>
  <c r="M26" i="4"/>
  <c r="L26" i="4"/>
  <c r="K26" i="4"/>
  <c r="I26" i="4"/>
  <c r="H26" i="4"/>
  <c r="G26" i="4"/>
  <c r="F26" i="4"/>
  <c r="E26" i="4"/>
  <c r="D26" i="4"/>
  <c r="C26" i="4"/>
  <c r="B26" i="4"/>
  <c r="A26" i="4"/>
  <c r="M25" i="4"/>
  <c r="L25" i="4"/>
  <c r="K25" i="4"/>
  <c r="I25" i="4"/>
  <c r="H25" i="4"/>
  <c r="G25" i="4"/>
  <c r="F25" i="4"/>
  <c r="E25" i="4"/>
  <c r="D25" i="4"/>
  <c r="C25" i="4"/>
  <c r="B25" i="4"/>
  <c r="A25" i="4"/>
  <c r="M24" i="4"/>
  <c r="L24" i="4"/>
  <c r="K24" i="4"/>
  <c r="I24" i="4"/>
  <c r="H24" i="4"/>
  <c r="G24" i="4"/>
  <c r="F24" i="4"/>
  <c r="E24" i="4"/>
  <c r="D24" i="4"/>
  <c r="C24" i="4"/>
  <c r="B24" i="4"/>
  <c r="A24" i="4"/>
  <c r="M23" i="4"/>
  <c r="L23" i="4"/>
  <c r="K23" i="4"/>
  <c r="I23" i="4"/>
  <c r="H23" i="4"/>
  <c r="G23" i="4"/>
  <c r="F23" i="4"/>
  <c r="E23" i="4"/>
  <c r="D23" i="4"/>
  <c r="C23" i="4"/>
  <c r="B23" i="4"/>
  <c r="A23" i="4"/>
  <c r="M22" i="4"/>
  <c r="L22" i="4"/>
  <c r="K22" i="4"/>
  <c r="I22" i="4"/>
  <c r="H22" i="4"/>
  <c r="G22" i="4"/>
  <c r="F22" i="4"/>
  <c r="E22" i="4"/>
  <c r="D22" i="4"/>
  <c r="C22" i="4"/>
  <c r="B22" i="4"/>
  <c r="A22" i="4"/>
  <c r="M21" i="4"/>
  <c r="L21" i="4"/>
  <c r="K21" i="4"/>
  <c r="I21" i="4"/>
  <c r="H21" i="4"/>
  <c r="G21" i="4"/>
  <c r="F21" i="4"/>
  <c r="E21" i="4"/>
  <c r="D21" i="4"/>
  <c r="C21" i="4"/>
  <c r="B21" i="4"/>
  <c r="A21" i="4"/>
  <c r="M20" i="4"/>
  <c r="L20" i="4"/>
  <c r="K20" i="4"/>
  <c r="I20" i="4"/>
  <c r="H20" i="4"/>
  <c r="G20" i="4"/>
  <c r="F20" i="4"/>
  <c r="E20" i="4"/>
  <c r="D20" i="4"/>
  <c r="C20" i="4"/>
  <c r="B20" i="4"/>
  <c r="A20" i="4"/>
  <c r="M19" i="4"/>
  <c r="L19" i="4"/>
  <c r="K19" i="4"/>
  <c r="I19" i="4"/>
  <c r="H19" i="4"/>
  <c r="G19" i="4"/>
  <c r="F19" i="4"/>
  <c r="E19" i="4"/>
  <c r="D19" i="4"/>
  <c r="C19" i="4"/>
  <c r="B19" i="4"/>
  <c r="A19" i="4"/>
  <c r="M18" i="4"/>
  <c r="L18" i="4"/>
  <c r="K18" i="4"/>
  <c r="I18" i="4"/>
  <c r="H18" i="4"/>
  <c r="G18" i="4"/>
  <c r="F18" i="4"/>
  <c r="E18" i="4"/>
  <c r="D18" i="4"/>
  <c r="C18" i="4"/>
  <c r="B18" i="4"/>
  <c r="A18" i="4"/>
  <c r="M17" i="4"/>
  <c r="L17" i="4"/>
  <c r="K17" i="4"/>
  <c r="I17" i="4"/>
  <c r="H17" i="4"/>
  <c r="G17" i="4"/>
  <c r="F17" i="4"/>
  <c r="E17" i="4"/>
  <c r="D17" i="4"/>
  <c r="C17" i="4"/>
  <c r="B17" i="4"/>
  <c r="A17" i="4"/>
  <c r="M16" i="4"/>
  <c r="L16" i="4"/>
  <c r="K16" i="4"/>
  <c r="I16" i="4"/>
  <c r="H16" i="4"/>
  <c r="G16" i="4"/>
  <c r="F16" i="4"/>
  <c r="E16" i="4"/>
  <c r="D16" i="4"/>
  <c r="C16" i="4"/>
  <c r="B16" i="4"/>
  <c r="A16" i="4"/>
  <c r="M15" i="4"/>
  <c r="L15" i="4"/>
  <c r="K15" i="4"/>
  <c r="I15" i="4"/>
  <c r="H15" i="4"/>
  <c r="G15" i="4"/>
  <c r="F15" i="4"/>
  <c r="E15" i="4"/>
  <c r="D15" i="4"/>
  <c r="C15" i="4"/>
  <c r="B15" i="4"/>
  <c r="A15" i="4"/>
  <c r="M14" i="4"/>
  <c r="L14" i="4"/>
  <c r="K14" i="4"/>
  <c r="I14" i="4"/>
  <c r="H14" i="4"/>
  <c r="G14" i="4"/>
  <c r="F14" i="4"/>
  <c r="E14" i="4"/>
  <c r="D14" i="4"/>
  <c r="C14" i="4"/>
  <c r="B14" i="4"/>
  <c r="A14" i="4"/>
  <c r="M13" i="4"/>
  <c r="L13" i="4"/>
  <c r="K13" i="4"/>
  <c r="I13" i="4"/>
  <c r="H13" i="4"/>
  <c r="G13" i="4"/>
  <c r="F13" i="4"/>
  <c r="E13" i="4"/>
  <c r="D13" i="4"/>
  <c r="C13" i="4"/>
  <c r="B13" i="4"/>
  <c r="A13" i="4"/>
  <c r="M12" i="4"/>
  <c r="L12" i="4"/>
  <c r="K12" i="4"/>
  <c r="I12" i="4"/>
  <c r="H12" i="4"/>
  <c r="G12" i="4"/>
  <c r="F12" i="4"/>
  <c r="E12" i="4"/>
  <c r="D12" i="4"/>
  <c r="C12" i="4"/>
  <c r="B12" i="4"/>
  <c r="A12" i="4"/>
  <c r="M11" i="4"/>
  <c r="L11" i="4"/>
  <c r="K11" i="4"/>
  <c r="I11" i="4"/>
  <c r="H11" i="4"/>
  <c r="G11" i="4"/>
  <c r="F11" i="4"/>
  <c r="E11" i="4"/>
  <c r="D11" i="4"/>
  <c r="C11" i="4"/>
  <c r="B11" i="4"/>
  <c r="A11" i="4"/>
  <c r="M10" i="4"/>
  <c r="L10" i="4"/>
  <c r="K10" i="4"/>
  <c r="I10" i="4"/>
  <c r="H10" i="4"/>
  <c r="G10" i="4"/>
  <c r="F10" i="4"/>
  <c r="E10" i="4"/>
  <c r="D10" i="4"/>
  <c r="C10" i="4"/>
  <c r="B10" i="4"/>
  <c r="A10" i="4"/>
  <c r="M9" i="4"/>
  <c r="L9" i="4"/>
  <c r="K9" i="4"/>
  <c r="I9" i="4"/>
  <c r="H9" i="4"/>
  <c r="G9" i="4"/>
  <c r="F9" i="4"/>
  <c r="E9" i="4"/>
  <c r="D9" i="4"/>
  <c r="C9" i="4"/>
  <c r="B9" i="4"/>
  <c r="A9" i="4"/>
  <c r="M8" i="4"/>
  <c r="L8" i="4"/>
  <c r="K8" i="4"/>
  <c r="I8" i="4"/>
  <c r="H8" i="4"/>
  <c r="G8" i="4"/>
  <c r="F8" i="4"/>
  <c r="E8" i="4"/>
  <c r="D8" i="4"/>
  <c r="C8" i="4"/>
  <c r="B8" i="4"/>
  <c r="A8" i="4"/>
  <c r="M7" i="4"/>
  <c r="L7" i="4"/>
  <c r="K7" i="4"/>
  <c r="I7" i="4"/>
  <c r="H7" i="4"/>
  <c r="G7" i="4"/>
  <c r="F7" i="4"/>
  <c r="E7" i="4"/>
  <c r="D7" i="4"/>
  <c r="C7" i="4"/>
  <c r="B7" i="4"/>
  <c r="A7" i="4"/>
  <c r="M6" i="4"/>
  <c r="L6" i="4"/>
  <c r="K6" i="4"/>
  <c r="I6" i="4"/>
  <c r="H6" i="4"/>
  <c r="G6" i="4"/>
  <c r="F6" i="4"/>
  <c r="E6" i="4"/>
  <c r="D6" i="4"/>
  <c r="C6" i="4"/>
  <c r="B6" i="4"/>
  <c r="A6" i="4"/>
  <c r="M5" i="4"/>
  <c r="L5" i="4"/>
  <c r="K5" i="4"/>
  <c r="I5" i="4"/>
  <c r="H5" i="4"/>
  <c r="G5" i="4"/>
  <c r="F5" i="4"/>
  <c r="E5" i="4"/>
  <c r="D5" i="4"/>
  <c r="C5" i="4"/>
  <c r="B5" i="4"/>
  <c r="A5" i="4"/>
  <c r="M4" i="4"/>
  <c r="L4" i="4"/>
  <c r="K4" i="4"/>
  <c r="I4" i="4"/>
  <c r="H4" i="4"/>
  <c r="G4" i="4"/>
  <c r="F4" i="4"/>
  <c r="E4" i="4"/>
  <c r="D4" i="4"/>
  <c r="C4" i="4"/>
  <c r="B4" i="4"/>
  <c r="A4" i="4"/>
  <c r="M3" i="4"/>
  <c r="L3" i="4"/>
  <c r="K3" i="4"/>
  <c r="I3" i="4"/>
  <c r="H3" i="4"/>
  <c r="G3" i="4"/>
  <c r="F3" i="4"/>
  <c r="E3" i="4"/>
  <c r="D3" i="4"/>
  <c r="C3" i="4"/>
  <c r="B3" i="4"/>
  <c r="A3" i="4"/>
  <c r="M2" i="4"/>
  <c r="L2" i="4"/>
  <c r="K2" i="4"/>
  <c r="I2" i="4"/>
  <c r="H2" i="4"/>
  <c r="G2" i="4"/>
  <c r="F2" i="4"/>
  <c r="E2" i="4"/>
  <c r="D2" i="4"/>
  <c r="C2" i="4"/>
  <c r="B2" i="4"/>
  <c r="A2" i="4"/>
  <c r="B39" i="2"/>
  <c r="B38" i="2"/>
  <c r="B37" i="2"/>
  <c r="B36" i="2"/>
  <c r="B35" i="2"/>
  <c r="B32" i="2"/>
  <c r="B31" i="2"/>
  <c r="B28" i="2"/>
  <c r="B25" i="2"/>
  <c r="B24" i="2"/>
  <c r="B21" i="2"/>
  <c r="B20" i="2"/>
  <c r="B17" i="2"/>
  <c r="B16" i="2"/>
  <c r="B15" i="2"/>
  <c r="B14" i="2"/>
  <c r="B11" i="2"/>
  <c r="B10" i="2"/>
  <c r="B7" i="2"/>
  <c r="B6" i="2"/>
  <c r="Q147" i="1"/>
  <c r="P147" i="1"/>
  <c r="O147" i="1"/>
  <c r="J141" i="4" s="1"/>
  <c r="N147" i="1"/>
  <c r="Q146" i="1"/>
  <c r="P146" i="1"/>
  <c r="O146" i="1"/>
  <c r="J140" i="4" s="1"/>
  <c r="N146" i="1"/>
  <c r="Q145" i="1"/>
  <c r="P145" i="1"/>
  <c r="O145" i="1"/>
  <c r="J139" i="4" s="1"/>
  <c r="N145" i="1"/>
  <c r="Q144" i="1"/>
  <c r="P144" i="1"/>
  <c r="O144" i="1"/>
  <c r="J138" i="4" s="1"/>
  <c r="N144" i="1"/>
  <c r="Q143" i="1"/>
  <c r="P143" i="1"/>
  <c r="O143" i="1"/>
  <c r="J137" i="4" s="1"/>
  <c r="N143" i="1"/>
  <c r="Q142" i="1"/>
  <c r="P142" i="1"/>
  <c r="O142" i="1"/>
  <c r="N142" i="1"/>
  <c r="Q141" i="1"/>
  <c r="P141" i="1"/>
  <c r="O141" i="1"/>
  <c r="J136" i="4" s="1"/>
  <c r="N141" i="1"/>
  <c r="Q140" i="1"/>
  <c r="P140" i="1"/>
  <c r="O140" i="1"/>
  <c r="J135" i="4" s="1"/>
  <c r="N140" i="1"/>
  <c r="Q139" i="1"/>
  <c r="P139" i="1"/>
  <c r="O139" i="1"/>
  <c r="J134" i="4" s="1"/>
  <c r="N139" i="1"/>
  <c r="Q138" i="1"/>
  <c r="P138" i="1"/>
  <c r="O138" i="1"/>
  <c r="J133" i="4" s="1"/>
  <c r="N138" i="1"/>
  <c r="Q137" i="1"/>
  <c r="P137" i="1"/>
  <c r="O137" i="1"/>
  <c r="J132" i="4" s="1"/>
  <c r="N137" i="1"/>
  <c r="Q136" i="1"/>
  <c r="P136" i="1"/>
  <c r="O136" i="1"/>
  <c r="J131" i="4" s="1"/>
  <c r="N136" i="1"/>
  <c r="Q135" i="1"/>
  <c r="P135" i="1"/>
  <c r="O135" i="1"/>
  <c r="J130" i="4" s="1"/>
  <c r="N135" i="1"/>
  <c r="Q134" i="1"/>
  <c r="P134" i="1"/>
  <c r="O134" i="1"/>
  <c r="J129" i="4" s="1"/>
  <c r="N134" i="1"/>
  <c r="Q133" i="1"/>
  <c r="P133" i="1"/>
  <c r="O133" i="1"/>
  <c r="J128" i="4" s="1"/>
  <c r="N133" i="1"/>
  <c r="Q132" i="1"/>
  <c r="P132" i="1"/>
  <c r="O132" i="1"/>
  <c r="N132" i="1"/>
  <c r="Q131" i="1"/>
  <c r="P131" i="1"/>
  <c r="O131" i="1"/>
  <c r="J127" i="4" s="1"/>
  <c r="N131" i="1"/>
  <c r="Q130" i="1"/>
  <c r="P130" i="1"/>
  <c r="O130" i="1"/>
  <c r="J126" i="4" s="1"/>
  <c r="N130" i="1"/>
  <c r="Q129" i="1"/>
  <c r="P129" i="1"/>
  <c r="O129" i="1"/>
  <c r="J125" i="4" s="1"/>
  <c r="N129" i="1"/>
  <c r="Q128" i="1"/>
  <c r="P128" i="1"/>
  <c r="O128" i="1"/>
  <c r="J124" i="4" s="1"/>
  <c r="N128" i="1"/>
  <c r="Q127" i="1"/>
  <c r="P127" i="1"/>
  <c r="O127" i="1"/>
  <c r="J123" i="4" s="1"/>
  <c r="N127" i="1"/>
  <c r="Q126" i="1"/>
  <c r="P126" i="1"/>
  <c r="O126" i="1"/>
  <c r="J122" i="4" s="1"/>
  <c r="N126" i="1"/>
  <c r="Q125" i="1"/>
  <c r="P125" i="1"/>
  <c r="O125" i="1"/>
  <c r="J121" i="4" s="1"/>
  <c r="N125" i="1"/>
  <c r="Q124" i="1"/>
  <c r="P124" i="1"/>
  <c r="O124" i="1"/>
  <c r="J120" i="4" s="1"/>
  <c r="N124" i="1"/>
  <c r="Q123" i="1"/>
  <c r="P123" i="1"/>
  <c r="O123" i="1"/>
  <c r="J119" i="4" s="1"/>
  <c r="N123" i="1"/>
  <c r="Q122" i="1"/>
  <c r="P122" i="1"/>
  <c r="O122" i="1"/>
  <c r="J118" i="4" s="1"/>
  <c r="N122" i="1"/>
  <c r="Q121" i="1"/>
  <c r="P121" i="1"/>
  <c r="O121" i="1"/>
  <c r="J117" i="4" s="1"/>
  <c r="N121" i="1"/>
  <c r="Q120" i="1"/>
  <c r="P120" i="1"/>
  <c r="O120" i="1"/>
  <c r="J116" i="4" s="1"/>
  <c r="N120" i="1"/>
  <c r="Q119" i="1"/>
  <c r="P119" i="1"/>
  <c r="O119" i="1"/>
  <c r="J115" i="4" s="1"/>
  <c r="N119" i="1"/>
  <c r="Q118" i="1"/>
  <c r="P118" i="1"/>
  <c r="O118" i="1"/>
  <c r="J114" i="4" s="1"/>
  <c r="N118" i="1"/>
  <c r="Q117" i="1"/>
  <c r="P117" i="1"/>
  <c r="O117" i="1"/>
  <c r="J113" i="4" s="1"/>
  <c r="N117" i="1"/>
  <c r="Q116" i="1"/>
  <c r="P116" i="1"/>
  <c r="O116" i="1"/>
  <c r="J112" i="4" s="1"/>
  <c r="N116" i="1"/>
  <c r="Q115" i="1"/>
  <c r="P115" i="1"/>
  <c r="O115" i="1"/>
  <c r="J111" i="4" s="1"/>
  <c r="N115" i="1"/>
  <c r="Q114" i="1"/>
  <c r="P114" i="1"/>
  <c r="O114" i="1"/>
  <c r="J110" i="4" s="1"/>
  <c r="N114" i="1"/>
  <c r="Q113" i="1"/>
  <c r="P113" i="1"/>
  <c r="O113" i="1"/>
  <c r="J109" i="4" s="1"/>
  <c r="N113" i="1"/>
  <c r="Q112" i="1"/>
  <c r="P112" i="1"/>
  <c r="O112" i="1"/>
  <c r="J108" i="4" s="1"/>
  <c r="N112" i="1"/>
  <c r="Q111" i="1"/>
  <c r="P111" i="1"/>
  <c r="O111" i="1"/>
  <c r="N111" i="1"/>
  <c r="Q110" i="1"/>
  <c r="P110" i="1"/>
  <c r="O110" i="1"/>
  <c r="J107" i="4" s="1"/>
  <c r="N110" i="1"/>
  <c r="Q109" i="1"/>
  <c r="P109" i="1"/>
  <c r="O109" i="1"/>
  <c r="J106" i="4" s="1"/>
  <c r="N109" i="1"/>
  <c r="Q108" i="1"/>
  <c r="P108" i="1"/>
  <c r="O108" i="1"/>
  <c r="J105" i="4" s="1"/>
  <c r="N108" i="1"/>
  <c r="Q107" i="1"/>
  <c r="P107" i="1"/>
  <c r="O107" i="1"/>
  <c r="J104" i="4" s="1"/>
  <c r="N107" i="1"/>
  <c r="Q106" i="1"/>
  <c r="P106" i="1"/>
  <c r="O106" i="1"/>
  <c r="J103" i="4" s="1"/>
  <c r="N106" i="1"/>
  <c r="Q105" i="1"/>
  <c r="P105" i="1"/>
  <c r="O105" i="1"/>
  <c r="J102" i="4" s="1"/>
  <c r="N105" i="1"/>
  <c r="Q104" i="1"/>
  <c r="P104" i="1"/>
  <c r="O104" i="1"/>
  <c r="J101" i="4" s="1"/>
  <c r="N104" i="1"/>
  <c r="Q103" i="1"/>
  <c r="P103" i="1"/>
  <c r="O103" i="1"/>
  <c r="J100" i="4" s="1"/>
  <c r="N103" i="1"/>
  <c r="Q102" i="1"/>
  <c r="P102" i="1"/>
  <c r="O102" i="1"/>
  <c r="N102" i="1"/>
  <c r="Q101" i="1"/>
  <c r="P101" i="1"/>
  <c r="O101" i="1"/>
  <c r="J99" i="4" s="1"/>
  <c r="N101" i="1"/>
  <c r="Q100" i="1"/>
  <c r="P100" i="1"/>
  <c r="O100" i="1"/>
  <c r="J98" i="4" s="1"/>
  <c r="N100" i="1"/>
  <c r="Q99" i="1"/>
  <c r="P99" i="1"/>
  <c r="O99" i="1"/>
  <c r="J97" i="4" s="1"/>
  <c r="N99" i="1"/>
  <c r="Q98" i="1"/>
  <c r="P98" i="1"/>
  <c r="O98" i="1"/>
  <c r="J96" i="4" s="1"/>
  <c r="N98" i="1"/>
  <c r="Q97" i="1"/>
  <c r="P97" i="1"/>
  <c r="O97" i="1"/>
  <c r="J95" i="4" s="1"/>
  <c r="N97" i="1"/>
  <c r="Q96" i="1"/>
  <c r="P96" i="1"/>
  <c r="O96" i="1"/>
  <c r="J94" i="4" s="1"/>
  <c r="N96" i="1"/>
  <c r="Q95" i="1"/>
  <c r="P95" i="1"/>
  <c r="O95" i="1"/>
  <c r="J93" i="4" s="1"/>
  <c r="N95" i="1"/>
  <c r="Q94" i="1"/>
  <c r="P94" i="1"/>
  <c r="O94" i="1"/>
  <c r="J92" i="4" s="1"/>
  <c r="N94" i="1"/>
  <c r="Q93" i="1"/>
  <c r="P93" i="1"/>
  <c r="O93" i="1"/>
  <c r="J91" i="4" s="1"/>
  <c r="N93" i="1"/>
  <c r="Q92" i="1"/>
  <c r="P92" i="1"/>
  <c r="O92" i="1"/>
  <c r="J90" i="4" s="1"/>
  <c r="N92" i="1"/>
  <c r="Q91" i="1"/>
  <c r="P91" i="1"/>
  <c r="O91" i="1"/>
  <c r="J89" i="4" s="1"/>
  <c r="N91" i="1"/>
  <c r="Q90" i="1"/>
  <c r="P90" i="1"/>
  <c r="O90" i="1"/>
  <c r="J88" i="4" s="1"/>
  <c r="N90" i="1"/>
  <c r="Q89" i="1"/>
  <c r="P89" i="1"/>
  <c r="O89" i="1"/>
  <c r="J87" i="4" s="1"/>
  <c r="N89" i="1"/>
  <c r="Q88" i="1"/>
  <c r="P88" i="1"/>
  <c r="O88" i="1"/>
  <c r="J86" i="4" s="1"/>
  <c r="N88" i="1"/>
  <c r="Q87" i="1"/>
  <c r="P87" i="1"/>
  <c r="O87" i="1"/>
  <c r="J85" i="4" s="1"/>
  <c r="N87" i="1"/>
  <c r="Q86" i="1"/>
  <c r="P86" i="1"/>
  <c r="O86" i="1"/>
  <c r="J84" i="4" s="1"/>
  <c r="N86" i="1"/>
  <c r="Q85" i="1"/>
  <c r="P85" i="1"/>
  <c r="O85" i="1"/>
  <c r="J83" i="4" s="1"/>
  <c r="N85" i="1"/>
  <c r="Q84" i="1"/>
  <c r="P84" i="1"/>
  <c r="O84" i="1"/>
  <c r="J82" i="4" s="1"/>
  <c r="N84" i="1"/>
  <c r="Q83" i="1"/>
  <c r="P83" i="1"/>
  <c r="O83" i="1"/>
  <c r="J81" i="4" s="1"/>
  <c r="N83" i="1"/>
  <c r="Q82" i="1"/>
  <c r="P82" i="1"/>
  <c r="O82" i="1"/>
  <c r="J80" i="4" s="1"/>
  <c r="N82" i="1"/>
  <c r="Q81" i="1"/>
  <c r="P81" i="1"/>
  <c r="O81" i="1"/>
  <c r="J79" i="4" s="1"/>
  <c r="N81" i="1"/>
  <c r="Q80" i="1"/>
  <c r="P80" i="1"/>
  <c r="O80" i="1"/>
  <c r="J78" i="4" s="1"/>
  <c r="N80" i="1"/>
  <c r="Q79" i="1"/>
  <c r="P79" i="1"/>
  <c r="O79" i="1"/>
  <c r="J77" i="4" s="1"/>
  <c r="N79" i="1"/>
  <c r="Q78" i="1"/>
  <c r="P78" i="1"/>
  <c r="O78" i="1"/>
  <c r="J76" i="4" s="1"/>
  <c r="N78" i="1"/>
  <c r="Q77" i="1"/>
  <c r="P77" i="1"/>
  <c r="O77" i="1"/>
  <c r="J75" i="4" s="1"/>
  <c r="N77" i="1"/>
  <c r="Q76" i="1"/>
  <c r="P76" i="1"/>
  <c r="O76" i="1"/>
  <c r="J74" i="4" s="1"/>
  <c r="N76" i="1"/>
  <c r="Q75" i="1"/>
  <c r="P75" i="1"/>
  <c r="O75" i="1"/>
  <c r="J73" i="4" s="1"/>
  <c r="N75" i="1"/>
  <c r="Q74" i="1"/>
  <c r="P74" i="1"/>
  <c r="O74" i="1"/>
  <c r="J72" i="4" s="1"/>
  <c r="N74" i="1"/>
  <c r="Q73" i="1"/>
  <c r="P73" i="1"/>
  <c r="O73" i="1"/>
  <c r="J71" i="4" s="1"/>
  <c r="N73" i="1"/>
  <c r="Q72" i="1"/>
  <c r="P72" i="1"/>
  <c r="O72" i="1"/>
  <c r="J70" i="4" s="1"/>
  <c r="N72" i="1"/>
  <c r="Q71" i="1"/>
  <c r="P71" i="1"/>
  <c r="O71" i="1"/>
  <c r="J69" i="4" s="1"/>
  <c r="N71" i="1"/>
  <c r="Q70" i="1"/>
  <c r="P70" i="1"/>
  <c r="O70" i="1"/>
  <c r="J68" i="4" s="1"/>
  <c r="N70" i="1"/>
  <c r="Q69" i="1"/>
  <c r="P69" i="1"/>
  <c r="O69" i="1"/>
  <c r="J67" i="4" s="1"/>
  <c r="N69" i="1"/>
  <c r="Q68" i="1"/>
  <c r="P68" i="1"/>
  <c r="O68" i="1"/>
  <c r="J66" i="4" s="1"/>
  <c r="N68" i="1"/>
  <c r="Q67" i="1"/>
  <c r="P67" i="1"/>
  <c r="O67" i="1"/>
  <c r="J65" i="4" s="1"/>
  <c r="N67" i="1"/>
  <c r="Q66" i="1"/>
  <c r="P66" i="1"/>
  <c r="O66" i="1"/>
  <c r="J64" i="4" s="1"/>
  <c r="N66" i="1"/>
  <c r="Q65" i="1"/>
  <c r="P65" i="1"/>
  <c r="O65" i="1"/>
  <c r="J63" i="4" s="1"/>
  <c r="N65" i="1"/>
  <c r="Q64" i="1"/>
  <c r="P64" i="1"/>
  <c r="O64" i="1"/>
  <c r="J62" i="4" s="1"/>
  <c r="N64" i="1"/>
  <c r="Q63" i="1"/>
  <c r="P63" i="1"/>
  <c r="O63" i="1"/>
  <c r="J61" i="4" s="1"/>
  <c r="N63" i="1"/>
  <c r="Q62" i="1"/>
  <c r="P62" i="1"/>
  <c r="O62" i="1"/>
  <c r="J60" i="4" s="1"/>
  <c r="N62" i="1"/>
  <c r="Q61" i="1"/>
  <c r="P61" i="1"/>
  <c r="O61" i="1"/>
  <c r="J59" i="4" s="1"/>
  <c r="N61" i="1"/>
  <c r="Q60" i="1"/>
  <c r="P60" i="1"/>
  <c r="O60" i="1"/>
  <c r="J58" i="4" s="1"/>
  <c r="N60" i="1"/>
  <c r="Q59" i="1"/>
  <c r="P59" i="1"/>
  <c r="O59" i="1"/>
  <c r="J57" i="4" s="1"/>
  <c r="N59" i="1"/>
  <c r="Q58" i="1"/>
  <c r="P58" i="1"/>
  <c r="O58" i="1"/>
  <c r="J56" i="4" s="1"/>
  <c r="N58" i="1"/>
  <c r="Q57" i="1"/>
  <c r="P57" i="1"/>
  <c r="O57" i="1"/>
  <c r="J55" i="4" s="1"/>
  <c r="N57" i="1"/>
  <c r="Q56" i="1"/>
  <c r="P56" i="1"/>
  <c r="O56" i="1"/>
  <c r="N56" i="1"/>
  <c r="Q55" i="1"/>
  <c r="P55" i="1"/>
  <c r="O55" i="1"/>
  <c r="J54" i="4" s="1"/>
  <c r="N55" i="1"/>
  <c r="Q54" i="1"/>
  <c r="P54" i="1"/>
  <c r="O54" i="1"/>
  <c r="J53" i="4" s="1"/>
  <c r="N54" i="1"/>
  <c r="Q53" i="1"/>
  <c r="P53" i="1"/>
  <c r="O53" i="1"/>
  <c r="J52" i="4" s="1"/>
  <c r="N53" i="1"/>
  <c r="Q52" i="1"/>
  <c r="P52" i="1"/>
  <c r="O52" i="1"/>
  <c r="J51" i="4" s="1"/>
  <c r="N52" i="1"/>
  <c r="Q51" i="1"/>
  <c r="P51" i="1"/>
  <c r="O51" i="1"/>
  <c r="J50" i="4" s="1"/>
  <c r="N51" i="1"/>
  <c r="Q50" i="1"/>
  <c r="P50" i="1"/>
  <c r="O50" i="1"/>
  <c r="J49" i="4" s="1"/>
  <c r="N50" i="1"/>
  <c r="Q49" i="1"/>
  <c r="P49" i="1"/>
  <c r="O49" i="1"/>
  <c r="J48" i="4" s="1"/>
  <c r="N49" i="1"/>
  <c r="Q48" i="1"/>
  <c r="P48" i="1"/>
  <c r="O48" i="1"/>
  <c r="J47" i="4" s="1"/>
  <c r="N48" i="1"/>
  <c r="Q47" i="1"/>
  <c r="P47" i="1"/>
  <c r="O47" i="1"/>
  <c r="J46" i="4" s="1"/>
  <c r="N47" i="1"/>
  <c r="Q46" i="1"/>
  <c r="P46" i="1"/>
  <c r="O46" i="1"/>
  <c r="J45" i="4" s="1"/>
  <c r="N46" i="1"/>
  <c r="Q45" i="1"/>
  <c r="P45" i="1"/>
  <c r="O45" i="1"/>
  <c r="J44" i="4" s="1"/>
  <c r="N45" i="1"/>
  <c r="Q44" i="1"/>
  <c r="P44" i="1"/>
  <c r="O44" i="1"/>
  <c r="J43" i="4" s="1"/>
  <c r="N44" i="1"/>
  <c r="Q43" i="1"/>
  <c r="P43" i="1"/>
  <c r="O43" i="1"/>
  <c r="J42" i="4" s="1"/>
  <c r="N43" i="1"/>
  <c r="Q42" i="1"/>
  <c r="P42" i="1"/>
  <c r="O42" i="1"/>
  <c r="J41" i="4" s="1"/>
  <c r="N42" i="1"/>
  <c r="Q41" i="1"/>
  <c r="P41" i="1"/>
  <c r="O41" i="1"/>
  <c r="J40" i="4" s="1"/>
  <c r="N41" i="1"/>
  <c r="Q40" i="1"/>
  <c r="P40" i="1"/>
  <c r="O40" i="1"/>
  <c r="J39" i="4" s="1"/>
  <c r="N40" i="1"/>
  <c r="Q39" i="1"/>
  <c r="P39" i="1"/>
  <c r="O39" i="1"/>
  <c r="J38" i="4" s="1"/>
  <c r="N39" i="1"/>
  <c r="Q38" i="1"/>
  <c r="P38" i="1"/>
  <c r="O38" i="1"/>
  <c r="J37" i="4" s="1"/>
  <c r="N38" i="1"/>
  <c r="Q37" i="1"/>
  <c r="P37" i="1"/>
  <c r="O37" i="1"/>
  <c r="J36" i="4" s="1"/>
  <c r="N37" i="1"/>
  <c r="Q36" i="1"/>
  <c r="P36" i="1"/>
  <c r="O36" i="1"/>
  <c r="J35" i="4" s="1"/>
  <c r="N36" i="1"/>
  <c r="Q35" i="1"/>
  <c r="P35" i="1"/>
  <c r="O35" i="1"/>
  <c r="J34" i="4" s="1"/>
  <c r="N35" i="1"/>
  <c r="Q34" i="1"/>
  <c r="P34" i="1"/>
  <c r="O34" i="1"/>
  <c r="N34" i="1"/>
  <c r="Q33" i="1"/>
  <c r="P33" i="1"/>
  <c r="O33" i="1"/>
  <c r="J33" i="4" s="1"/>
  <c r="N33" i="1"/>
  <c r="Q32" i="1"/>
  <c r="P32" i="1"/>
  <c r="O32" i="1"/>
  <c r="J32" i="4" s="1"/>
  <c r="N32" i="1"/>
  <c r="Q31" i="1"/>
  <c r="P31" i="1"/>
  <c r="O31" i="1"/>
  <c r="J31" i="4" s="1"/>
  <c r="N31" i="1"/>
  <c r="Q30" i="1"/>
  <c r="P30" i="1"/>
  <c r="O30" i="1"/>
  <c r="J30" i="4" s="1"/>
  <c r="N30" i="1"/>
  <c r="Q29" i="1"/>
  <c r="P29" i="1"/>
  <c r="O29" i="1"/>
  <c r="J29" i="4" s="1"/>
  <c r="N29" i="1"/>
  <c r="Q28" i="1"/>
  <c r="P28" i="1"/>
  <c r="O28" i="1"/>
  <c r="J28" i="4" s="1"/>
  <c r="N28" i="1"/>
  <c r="Q27" i="1"/>
  <c r="P27" i="1"/>
  <c r="O27" i="1"/>
  <c r="J27" i="4" s="1"/>
  <c r="N27" i="1"/>
  <c r="Q26" i="1"/>
  <c r="P26" i="1"/>
  <c r="O26" i="1"/>
  <c r="J26" i="4" s="1"/>
  <c r="N26" i="1"/>
  <c r="Q25" i="1"/>
  <c r="P25" i="1"/>
  <c r="O25" i="1"/>
  <c r="J25" i="4" s="1"/>
  <c r="N25" i="1"/>
  <c r="Q24" i="1"/>
  <c r="P24" i="1"/>
  <c r="O24" i="1"/>
  <c r="J24" i="4" s="1"/>
  <c r="N24" i="1"/>
  <c r="Q23" i="1"/>
  <c r="P23" i="1"/>
  <c r="O23" i="1"/>
  <c r="J23" i="4" s="1"/>
  <c r="N23" i="1"/>
  <c r="Q22" i="1"/>
  <c r="P22" i="1"/>
  <c r="O22" i="1"/>
  <c r="J22" i="4" s="1"/>
  <c r="N22" i="1"/>
  <c r="Q21" i="1"/>
  <c r="P21" i="1"/>
  <c r="O21" i="1"/>
  <c r="J21" i="4" s="1"/>
  <c r="N21" i="1"/>
  <c r="Q20" i="1"/>
  <c r="P20" i="1"/>
  <c r="O20" i="1"/>
  <c r="J20" i="4" s="1"/>
  <c r="N20" i="1"/>
  <c r="Q19" i="1"/>
  <c r="P19" i="1"/>
  <c r="O19" i="1"/>
  <c r="J19" i="4" s="1"/>
  <c r="N19" i="1"/>
  <c r="Q18" i="1"/>
  <c r="P18" i="1"/>
  <c r="O18" i="1"/>
  <c r="J18" i="4" s="1"/>
  <c r="N18" i="1"/>
  <c r="Q17" i="1"/>
  <c r="P17" i="1"/>
  <c r="O17" i="1"/>
  <c r="J17" i="4" s="1"/>
  <c r="N17" i="1"/>
  <c r="Q16" i="1"/>
  <c r="P16" i="1"/>
  <c r="O16" i="1"/>
  <c r="J16" i="4" s="1"/>
  <c r="N16" i="1"/>
  <c r="Q15" i="1"/>
  <c r="P15" i="1"/>
  <c r="O15" i="1"/>
  <c r="J15" i="4" s="1"/>
  <c r="N15" i="1"/>
  <c r="Q14" i="1"/>
  <c r="P14" i="1"/>
  <c r="O14" i="1"/>
  <c r="J14" i="4" s="1"/>
  <c r="N14" i="1"/>
  <c r="Q13" i="1"/>
  <c r="P13" i="1"/>
  <c r="O13" i="1"/>
  <c r="J13" i="4" s="1"/>
  <c r="N13" i="1"/>
  <c r="Q12" i="1"/>
  <c r="P12" i="1"/>
  <c r="O12" i="1"/>
  <c r="J12" i="4" s="1"/>
  <c r="N12" i="1"/>
  <c r="Q11" i="1"/>
  <c r="P11" i="1"/>
  <c r="O11" i="1"/>
  <c r="J11" i="4" s="1"/>
  <c r="N11" i="1"/>
  <c r="Q10" i="1"/>
  <c r="P10" i="1"/>
  <c r="O10" i="1"/>
  <c r="J10" i="4" s="1"/>
  <c r="N10" i="1"/>
  <c r="Q9" i="1"/>
  <c r="P9" i="1"/>
  <c r="O9" i="1"/>
  <c r="J9" i="4" s="1"/>
  <c r="N9" i="1"/>
  <c r="Q8" i="1"/>
  <c r="P8" i="1"/>
  <c r="O8" i="1"/>
  <c r="J8" i="4" s="1"/>
  <c r="N8" i="1"/>
  <c r="Q7" i="1"/>
  <c r="P7" i="1"/>
  <c r="O7" i="1"/>
  <c r="J7" i="4" s="1"/>
  <c r="N7" i="1"/>
  <c r="Q6" i="1"/>
  <c r="P6" i="1"/>
  <c r="O6" i="1"/>
  <c r="J6" i="4" s="1"/>
  <c r="N6" i="1"/>
  <c r="Q5" i="1"/>
  <c r="P5" i="1"/>
  <c r="O5" i="1"/>
  <c r="J5" i="4" s="1"/>
  <c r="N5" i="1"/>
  <c r="Q4" i="1"/>
  <c r="P4" i="1"/>
  <c r="O4" i="1"/>
  <c r="J4" i="4" s="1"/>
  <c r="N4" i="1"/>
  <c r="Q3" i="1"/>
  <c r="P3" i="1"/>
  <c r="O3" i="1"/>
  <c r="J3" i="4" s="1"/>
  <c r="N3" i="1"/>
  <c r="Q2" i="1"/>
  <c r="P2" i="1"/>
  <c r="O2" i="1"/>
  <c r="J2" i="4" s="1"/>
  <c r="N2" i="1"/>
</calcChain>
</file>

<file path=xl/sharedStrings.xml><?xml version="1.0" encoding="utf-8"?>
<sst xmlns="http://schemas.openxmlformats.org/spreadsheetml/2006/main" count="1786" uniqueCount="769">
  <si>
    <t>id_billete</t>
  </si>
  <si>
    <t>id_cliente</t>
  </si>
  <si>
    <t>nombre_cliente</t>
  </si>
  <si>
    <t>correo</t>
  </si>
  <si>
    <t>fecha_nacimiento</t>
  </si>
  <si>
    <t>tipo_cliente</t>
  </si>
  <si>
    <t>estacion_salida</t>
  </si>
  <si>
    <t>estacion_llegada</t>
  </si>
  <si>
    <t>fecha_viaje</t>
  </si>
  <si>
    <t>clase</t>
  </si>
  <si>
    <t>estado</t>
  </si>
  <si>
    <t>precio</t>
  </si>
  <si>
    <t>fecha_compra</t>
  </si>
  <si>
    <t>Duplicado</t>
  </si>
  <si>
    <t>Clase_Uniforme</t>
  </si>
  <si>
    <t>Correo_Estado</t>
  </si>
  <si>
    <t>Precio_Estado</t>
  </si>
  <si>
    <t>1047</t>
  </si>
  <si>
    <t>22</t>
  </si>
  <si>
    <t>Santiago Sanchez</t>
  </si>
  <si>
    <t>santiago.sanchez22@correo.co</t>
  </si>
  <si>
    <t>11/01/1974</t>
  </si>
  <si>
    <t>Ocasional</t>
  </si>
  <si>
    <t>Cartagena</t>
  </si>
  <si>
    <t>Bucaramanga</t>
  </si>
  <si>
    <t>13/03/2026</t>
  </si>
  <si>
    <t>segunda</t>
  </si>
  <si>
    <t>Pagado</t>
  </si>
  <si>
    <t>19/12/2025</t>
  </si>
  <si>
    <t>1079</t>
  </si>
  <si>
    <t>45</t>
  </si>
  <si>
    <t>Gabriela Perez</t>
  </si>
  <si>
    <t>gabriela.perez45@correo.co</t>
  </si>
  <si>
    <t>21/03/1992</t>
  </si>
  <si>
    <t>Abonado</t>
  </si>
  <si>
    <t>Manizales</t>
  </si>
  <si>
    <t>Pereira</t>
  </si>
  <si>
    <t>1era</t>
  </si>
  <si>
    <t>31/12/2025</t>
  </si>
  <si>
    <t>1016</t>
  </si>
  <si>
    <t>60</t>
  </si>
  <si>
    <t>Mateo Sanchez</t>
  </si>
  <si>
    <t>mateo.sanchez60@correo.co</t>
  </si>
  <si>
    <t>14/10/1963</t>
  </si>
  <si>
    <t>Santa Marta</t>
  </si>
  <si>
    <t>Bogota Central</t>
  </si>
  <si>
    <t>24/01/2026</t>
  </si>
  <si>
    <t>1ra</t>
  </si>
  <si>
    <t>11/02/2026</t>
  </si>
  <si>
    <t>1057</t>
  </si>
  <si>
    <t>29</t>
  </si>
  <si>
    <t>Mateo Torres</t>
  </si>
  <si>
    <t>01/12/1983</t>
  </si>
  <si>
    <t>Medellin</t>
  </si>
  <si>
    <t>28/02/2026</t>
  </si>
  <si>
    <t>2nda</t>
  </si>
  <si>
    <t>Anulado</t>
  </si>
  <si>
    <t>15/05/2026</t>
  </si>
  <si>
    <t>1076</t>
  </si>
  <si>
    <t>36</t>
  </si>
  <si>
    <t>Daniela Rodriguez</t>
  </si>
  <si>
    <t>daniela.rodriguez36@correo.co</t>
  </si>
  <si>
    <t>22/06/2026</t>
  </si>
  <si>
    <t>04/02/2026</t>
  </si>
  <si>
    <t>1022</t>
  </si>
  <si>
    <t>24</t>
  </si>
  <si>
    <t>Sofia Martinez</t>
  </si>
  <si>
    <t>sofia.martinez24@correo.co</t>
  </si>
  <si>
    <t>20/02/1982</t>
  </si>
  <si>
    <t>19/06/2026</t>
  </si>
  <si>
    <t>Reembolsado</t>
  </si>
  <si>
    <t>28/11/2025</t>
  </si>
  <si>
    <t>1065</t>
  </si>
  <si>
    <t>56</t>
  </si>
  <si>
    <t>Sebastian Hernandez</t>
  </si>
  <si>
    <t>sebastian.hernandez56@correo.co</t>
  </si>
  <si>
    <t>08/11/1991</t>
  </si>
  <si>
    <t>30/06/2026</t>
  </si>
  <si>
    <t>2da</t>
  </si>
  <si>
    <t>09/12/2025</t>
  </si>
  <si>
    <t>1004</t>
  </si>
  <si>
    <t>Daniela Hernandez</t>
  </si>
  <si>
    <t>daniela.hernandez24@correo.co</t>
  </si>
  <si>
    <t>28/05/1961</t>
  </si>
  <si>
    <t>Barranquilla</t>
  </si>
  <si>
    <t>23/03/2026</t>
  </si>
  <si>
    <t>1115</t>
  </si>
  <si>
    <t>51</t>
  </si>
  <si>
    <t>Mateo Gonzalez</t>
  </si>
  <si>
    <t>mateo.gonzalez51@correo.co</t>
  </si>
  <si>
    <t>19/04/1964</t>
  </si>
  <si>
    <t>Cali</t>
  </si>
  <si>
    <t>01/04/2026</t>
  </si>
  <si>
    <t>25/04/2026</t>
  </si>
  <si>
    <t>1064</t>
  </si>
  <si>
    <t>47</t>
  </si>
  <si>
    <t>Sofia Torres</t>
  </si>
  <si>
    <t>sofia.torres47@correo.co</t>
  </si>
  <si>
    <t>01/05/1968</t>
  </si>
  <si>
    <t>30/03/2026</t>
  </si>
  <si>
    <t>primera</t>
  </si>
  <si>
    <t>22/01/2026</t>
  </si>
  <si>
    <t>1067</t>
  </si>
  <si>
    <t>5</t>
  </si>
  <si>
    <t>Paula Lopez</t>
  </si>
  <si>
    <t>paula.lopez5@correo.co</t>
  </si>
  <si>
    <t>16/03/1962</t>
  </si>
  <si>
    <t>10/11/2025</t>
  </si>
  <si>
    <t>1007</t>
  </si>
  <si>
    <t>Maria Martinez</t>
  </si>
  <si>
    <t>maria.martinez24@correo.co</t>
  </si>
  <si>
    <t>10/06/2026</t>
  </si>
  <si>
    <t>06/02/2026</t>
  </si>
  <si>
    <t>1089</t>
  </si>
  <si>
    <t>55</t>
  </si>
  <si>
    <t>Isabella Gonzalez</t>
  </si>
  <si>
    <t>isabella.gonzalez55@correo.co</t>
  </si>
  <si>
    <t>29/12/1979</t>
  </si>
  <si>
    <t>09/06/2026</t>
  </si>
  <si>
    <t>18/04/2026</t>
  </si>
  <si>
    <t>1054</t>
  </si>
  <si>
    <t>14</t>
  </si>
  <si>
    <t>Sebastian Lopez</t>
  </si>
  <si>
    <t>sebastian.lopez14@correo.co</t>
  </si>
  <si>
    <t>05/08/1970</t>
  </si>
  <si>
    <t>15/04/2026</t>
  </si>
  <si>
    <t>13/01/2026</t>
  </si>
  <si>
    <t>1070</t>
  </si>
  <si>
    <t>40</t>
  </si>
  <si>
    <t>Andres Torres</t>
  </si>
  <si>
    <t>andres.torres40@correo.co</t>
  </si>
  <si>
    <t>03/11/1967</t>
  </si>
  <si>
    <t>28/04/2026</t>
  </si>
  <si>
    <t>1084</t>
  </si>
  <si>
    <t>3</t>
  </si>
  <si>
    <t>David Lopez</t>
  </si>
  <si>
    <t>david.lopez3@correo.co</t>
  </si>
  <si>
    <t>16/06/1960</t>
  </si>
  <si>
    <t>Cucuta</t>
  </si>
  <si>
    <t>25/06/2026</t>
  </si>
  <si>
    <t>21/11/2025</t>
  </si>
  <si>
    <t>1060</t>
  </si>
  <si>
    <t>17</t>
  </si>
  <si>
    <t>Juan Rodriguez</t>
  </si>
  <si>
    <t>juan.rodriguez17@correo.co</t>
  </si>
  <si>
    <t>02/03/2001</t>
  </si>
  <si>
    <t>16/04/2026</t>
  </si>
  <si>
    <t>10/04/2026</t>
  </si>
  <si>
    <t>1051</t>
  </si>
  <si>
    <t>18</t>
  </si>
  <si>
    <t>Valentina Gomez</t>
  </si>
  <si>
    <t>valentina.gomez18@correo.co</t>
  </si>
  <si>
    <t>30/04/1966</t>
  </si>
  <si>
    <t>27/05/2026</t>
  </si>
  <si>
    <t>14/11/2025</t>
  </si>
  <si>
    <t>1099</t>
  </si>
  <si>
    <t>42</t>
  </si>
  <si>
    <t>Manuela Gonzalez</t>
  </si>
  <si>
    <t>manuela.gonzalez42@correo.co</t>
  </si>
  <si>
    <t>17/07/1968</t>
  </si>
  <si>
    <t>24/04/2026</t>
  </si>
  <si>
    <t>10/03/2026</t>
  </si>
  <si>
    <t>1019</t>
  </si>
  <si>
    <t>33</t>
  </si>
  <si>
    <t>Mateo Martinez</t>
  </si>
  <si>
    <t>26/05/2026</t>
  </si>
  <si>
    <t>1042</t>
  </si>
  <si>
    <t>31</t>
  </si>
  <si>
    <t>Santiago Ramirez</t>
  </si>
  <si>
    <t>12/02/1975</t>
  </si>
  <si>
    <t>05/03/2026</t>
  </si>
  <si>
    <t>02/03/2026</t>
  </si>
  <si>
    <t>1113</t>
  </si>
  <si>
    <t>30</t>
  </si>
  <si>
    <t>Mateo Rodriguez</t>
  </si>
  <si>
    <t>mateo.rodriguez30@correo.co</t>
  </si>
  <si>
    <t>03/02/2003</t>
  </si>
  <si>
    <t>15/02/2026</t>
  </si>
  <si>
    <t>1134</t>
  </si>
  <si>
    <t>4</t>
  </si>
  <si>
    <t>Sofia Sanchez</t>
  </si>
  <si>
    <t>sofia.sanchez4@correo.co</t>
  </si>
  <si>
    <t>21/03/1997</t>
  </si>
  <si>
    <t>28/01/2026</t>
  </si>
  <si>
    <t>12/02/2026</t>
  </si>
  <si>
    <t>1001</t>
  </si>
  <si>
    <t>2</t>
  </si>
  <si>
    <t>Gabriela Hernandez</t>
  </si>
  <si>
    <t>gabriela.hernandez2@correo.co</t>
  </si>
  <si>
    <t>20/08/1992</t>
  </si>
  <si>
    <t>02/01/2026</t>
  </si>
  <si>
    <t>1009</t>
  </si>
  <si>
    <t>57</t>
  </si>
  <si>
    <t>Nicolas Ramirez</t>
  </si>
  <si>
    <t>nicolas.ramirez57@correo.co</t>
  </si>
  <si>
    <t>18/07/1964</t>
  </si>
  <si>
    <t>09/02/2026</t>
  </si>
  <si>
    <t>16/03/2026</t>
  </si>
  <si>
    <t>1023</t>
  </si>
  <si>
    <t>48</t>
  </si>
  <si>
    <t>Gabriela Martinez</t>
  </si>
  <si>
    <t>gabriela.martinez48@correo.co</t>
  </si>
  <si>
    <t>05/10/1985</t>
  </si>
  <si>
    <t>06/05/2026</t>
  </si>
  <si>
    <t>17/02/2026</t>
  </si>
  <si>
    <t>1039</t>
  </si>
  <si>
    <t>Diego Perez</t>
  </si>
  <si>
    <t>diego.perez55@correo.co</t>
  </si>
  <si>
    <t>15/10/1981</t>
  </si>
  <si>
    <t>20/05/2026</t>
  </si>
  <si>
    <t>1095</t>
  </si>
  <si>
    <t>26</t>
  </si>
  <si>
    <t>Valentina Perez</t>
  </si>
  <si>
    <t>01/02/1983</t>
  </si>
  <si>
    <t>13/06/2026</t>
  </si>
  <si>
    <t>14/12/2025</t>
  </si>
  <si>
    <t>1075</t>
  </si>
  <si>
    <t>59</t>
  </si>
  <si>
    <t>paula.lopez59@correo.co</t>
  </si>
  <si>
    <t>01/05/1965</t>
  </si>
  <si>
    <t>27/02/2026</t>
  </si>
  <si>
    <t>25/05/2026</t>
  </si>
  <si>
    <t>1059</t>
  </si>
  <si>
    <t>27</t>
  </si>
  <si>
    <t>Juan Gonzalez</t>
  </si>
  <si>
    <t>juan.gonzalez27@correo.co</t>
  </si>
  <si>
    <t>03/08/1984</t>
  </si>
  <si>
    <t>20/01/2026</t>
  </si>
  <si>
    <t>1116</t>
  </si>
  <si>
    <t>Paula Martinez</t>
  </si>
  <si>
    <t>paula.martinez30@correo.co</t>
  </si>
  <si>
    <t>21/02/2026</t>
  </si>
  <si>
    <t>19/01/2026</t>
  </si>
  <si>
    <t>1008</t>
  </si>
  <si>
    <t>39</t>
  </si>
  <si>
    <t>Julian Ramirez</t>
  </si>
  <si>
    <t>julian.ramirez39@correo.co</t>
  </si>
  <si>
    <t>12/01/1956</t>
  </si>
  <si>
    <t>14/06/2026</t>
  </si>
  <si>
    <t>04/05/2026</t>
  </si>
  <si>
    <t>1138</t>
  </si>
  <si>
    <t>David Ramirez</t>
  </si>
  <si>
    <t>david.ramirez33@correo.co</t>
  </si>
  <si>
    <t>09/08/1997</t>
  </si>
  <si>
    <t>05/05/2026</t>
  </si>
  <si>
    <t>1011</t>
  </si>
  <si>
    <t>53</t>
  </si>
  <si>
    <t>Mateo Ramirez</t>
  </si>
  <si>
    <t>mateo.ramirez53@correo.co</t>
  </si>
  <si>
    <t>22/08/1997</t>
  </si>
  <si>
    <t>05/06/2026</t>
  </si>
  <si>
    <t>26/04/2026</t>
  </si>
  <si>
    <t>1002</t>
  </si>
  <si>
    <t>Isabella Rodriguez</t>
  </si>
  <si>
    <t>isabella.rodriguez22@correo.co</t>
  </si>
  <si>
    <t>09/11/1985</t>
  </si>
  <si>
    <t>18/05/2026</t>
  </si>
  <si>
    <t>01/06/2026</t>
  </si>
  <si>
    <t>1072</t>
  </si>
  <si>
    <t>37</t>
  </si>
  <si>
    <t>Daniela Torres</t>
  </si>
  <si>
    <t>daniela.torres37@correo.co</t>
  </si>
  <si>
    <t>19/12/1956</t>
  </si>
  <si>
    <t>10/05/2026</t>
  </si>
  <si>
    <t>1014</t>
  </si>
  <si>
    <t>Diego Sanchez</t>
  </si>
  <si>
    <t>diego.sanchez37@correo.co</t>
  </si>
  <si>
    <t>09/07/1991</t>
  </si>
  <si>
    <t>18/06/2026</t>
  </si>
  <si>
    <t>1119</t>
  </si>
  <si>
    <t>35</t>
  </si>
  <si>
    <t>Sofia Gonzalez</t>
  </si>
  <si>
    <t>10/07/1981</t>
  </si>
  <si>
    <t>1133</t>
  </si>
  <si>
    <t>49</t>
  </si>
  <si>
    <t>Camila Sanchez</t>
  </si>
  <si>
    <t>camila.sanchez49@correo.co</t>
  </si>
  <si>
    <t>06/09/1982</t>
  </si>
  <si>
    <t>11/04/2026</t>
  </si>
  <si>
    <t>13/11/2025</t>
  </si>
  <si>
    <t>1003</t>
  </si>
  <si>
    <t>41</t>
  </si>
  <si>
    <t>manuela.gonzalez41@correo.co</t>
  </si>
  <si>
    <t>10/02/1959</t>
  </si>
  <si>
    <t>01/03/2026</t>
  </si>
  <si>
    <t>12/12/2025</t>
  </si>
  <si>
    <t>1046</t>
  </si>
  <si>
    <t>52</t>
  </si>
  <si>
    <t>Gabriela Sanchez</t>
  </si>
  <si>
    <t>gabriela.sanchez52@correo.co</t>
  </si>
  <si>
    <t>29/01/1979</t>
  </si>
  <si>
    <t>1130</t>
  </si>
  <si>
    <t>Manuela Gomez</t>
  </si>
  <si>
    <t>manuela.gomez27@correo.co</t>
  </si>
  <si>
    <t>26/12/1980</t>
  </si>
  <si>
    <t>1020</t>
  </si>
  <si>
    <t>Diego Torres</t>
  </si>
  <si>
    <t>diego.torres27@correo.co</t>
  </si>
  <si>
    <t>29/04/1973</t>
  </si>
  <si>
    <t>12/04/2026</t>
  </si>
  <si>
    <t>12/05/2026</t>
  </si>
  <si>
    <t>1085</t>
  </si>
  <si>
    <t>21</t>
  </si>
  <si>
    <t>Manuela Martinez</t>
  </si>
  <si>
    <t>12/03/2004</t>
  </si>
  <si>
    <t>17/03/2026</t>
  </si>
  <si>
    <t>30/11/2025</t>
  </si>
  <si>
    <t>1012</t>
  </si>
  <si>
    <t>13</t>
  </si>
  <si>
    <t>Sofia Perez</t>
  </si>
  <si>
    <t>sofia.perez13@correo.co</t>
  </si>
  <si>
    <t>21/04/1994</t>
  </si>
  <si>
    <t>27/12/2025</t>
  </si>
  <si>
    <t>1055</t>
  </si>
  <si>
    <t>46</t>
  </si>
  <si>
    <t>25/09/1978</t>
  </si>
  <si>
    <t>19/11/2025</t>
  </si>
  <si>
    <t>1118</t>
  </si>
  <si>
    <t>Julian Perez</t>
  </si>
  <si>
    <t>julian.perez26@correo.co</t>
  </si>
  <si>
    <t>20/08/1999</t>
  </si>
  <si>
    <t>17/12/2025</t>
  </si>
  <si>
    <t>1058</t>
  </si>
  <si>
    <t>44</t>
  </si>
  <si>
    <t>Nicolas Torres</t>
  </si>
  <si>
    <t>18/03/1997</t>
  </si>
  <si>
    <t>30/05/2026</t>
  </si>
  <si>
    <t>29/01/2026</t>
  </si>
  <si>
    <t>1041</t>
  </si>
  <si>
    <t>9</t>
  </si>
  <si>
    <t>Julian Martinez</t>
  </si>
  <si>
    <t>27/12/1973</t>
  </si>
  <si>
    <t>08/04/2026</t>
  </si>
  <si>
    <t>1077</t>
  </si>
  <si>
    <t>7</t>
  </si>
  <si>
    <t>Maria Sanchez</t>
  </si>
  <si>
    <t>14/05/2005</t>
  </si>
  <si>
    <t>15/06/2026</t>
  </si>
  <si>
    <t>1081</t>
  </si>
  <si>
    <t>19/04/1966</t>
  </si>
  <si>
    <t>23/02/2026</t>
  </si>
  <si>
    <t>08/12/2025</t>
  </si>
  <si>
    <t>1094</t>
  </si>
  <si>
    <t>19</t>
  </si>
  <si>
    <t>06/10/1970</t>
  </si>
  <si>
    <t>1000</t>
  </si>
  <si>
    <t>Isabella Gomez</t>
  </si>
  <si>
    <t>isabella.gomez41@correo.co</t>
  </si>
  <si>
    <t>09/07/1967</t>
  </si>
  <si>
    <t>04/04/2026</t>
  </si>
  <si>
    <t>1049</t>
  </si>
  <si>
    <t>Paula Ramirez</t>
  </si>
  <si>
    <t>paula.ramirez24@correo.co</t>
  </si>
  <si>
    <t>18/05/2004</t>
  </si>
  <si>
    <t>11/03/2026</t>
  </si>
  <si>
    <t>01/12/2025</t>
  </si>
  <si>
    <t>1043</t>
  </si>
  <si>
    <t>43</t>
  </si>
  <si>
    <t>Isabella Torres</t>
  </si>
  <si>
    <t>isabella.torres43@correo.co</t>
  </si>
  <si>
    <t>27/12/1977</t>
  </si>
  <si>
    <t>1100</t>
  </si>
  <si>
    <t>sofia.sanchez5@correo.co</t>
  </si>
  <si>
    <t>07/06/2026</t>
  </si>
  <si>
    <t>22/05/2026</t>
  </si>
  <si>
    <t>1074</t>
  </si>
  <si>
    <t>Samuel Rodriguez</t>
  </si>
  <si>
    <t>samuel.rodriguez47@correo.co</t>
  </si>
  <si>
    <t>11/04/1992</t>
  </si>
  <si>
    <t>19/05/2026</t>
  </si>
  <si>
    <t>05/01/2026</t>
  </si>
  <si>
    <t>1125</t>
  </si>
  <si>
    <t>Paula Gomez</t>
  </si>
  <si>
    <t>paula.gomez51@correo.co</t>
  </si>
  <si>
    <t>06/12/1996</t>
  </si>
  <si>
    <t>17/01/2026</t>
  </si>
  <si>
    <t>14/02/2026</t>
  </si>
  <si>
    <t>1021</t>
  </si>
  <si>
    <t>Mateo Gomez</t>
  </si>
  <si>
    <t>mateo.gomez60@correo.co</t>
  </si>
  <si>
    <t>21/12/1963</t>
  </si>
  <si>
    <t>1103</t>
  </si>
  <si>
    <t>50</t>
  </si>
  <si>
    <t>Juan Torres</t>
  </si>
  <si>
    <t>08/01/1985</t>
  </si>
  <si>
    <t>23/05/2026</t>
  </si>
  <si>
    <t>21/06/2026</t>
  </si>
  <si>
    <t>1063</t>
  </si>
  <si>
    <t>maria.sanchez31@correo.co</t>
  </si>
  <si>
    <t>06/08/2000</t>
  </si>
  <si>
    <t>17/04/2026</t>
  </si>
  <si>
    <t>12/01/2026</t>
  </si>
  <si>
    <t>1066</t>
  </si>
  <si>
    <t>32</t>
  </si>
  <si>
    <t>Valentina Martinez</t>
  </si>
  <si>
    <t>valentina.martinez32@correo.co</t>
  </si>
  <si>
    <t>02/01/1964</t>
  </si>
  <si>
    <t>27/04/2026</t>
  </si>
  <si>
    <t>10/12/2025</t>
  </si>
  <si>
    <t>1029</t>
  </si>
  <si>
    <t>Santiago Rodriguez</t>
  </si>
  <si>
    <t>santiago.rodriguez22@correo.co</t>
  </si>
  <si>
    <t>25/10/1978</t>
  </si>
  <si>
    <t>1108</t>
  </si>
  <si>
    <t>58</t>
  </si>
  <si>
    <t>Sebastian Gonzalez</t>
  </si>
  <si>
    <t>sebastian.gonzalez58@correo.co</t>
  </si>
  <si>
    <t>12/07/1994</t>
  </si>
  <si>
    <t>09/05/2026</t>
  </si>
  <si>
    <t>1006</t>
  </si>
  <si>
    <t>Paula Perez</t>
  </si>
  <si>
    <t>paula.perez42@correo.co</t>
  </si>
  <si>
    <t>26/10/1967</t>
  </si>
  <si>
    <t>24/05/2026</t>
  </si>
  <si>
    <t>1112</t>
  </si>
  <si>
    <t>31/05/1968</t>
  </si>
  <si>
    <t>09/04/2026</t>
  </si>
  <si>
    <t>1030</t>
  </si>
  <si>
    <t>25</t>
  </si>
  <si>
    <t>Diego Hernandez</t>
  </si>
  <si>
    <t>diego.hernandez25@correo.co</t>
  </si>
  <si>
    <t>25/02/1955</t>
  </si>
  <si>
    <t>18/01/2026</t>
  </si>
  <si>
    <t>02/12/2025</t>
  </si>
  <si>
    <t>1013</t>
  </si>
  <si>
    <t>1</t>
  </si>
  <si>
    <t>mateo.gomez1@correo.co</t>
  </si>
  <si>
    <t>23/08/1984</t>
  </si>
  <si>
    <t>1017</t>
  </si>
  <si>
    <t>valentina.martinez58@correo.co</t>
  </si>
  <si>
    <t>17/10/1978</t>
  </si>
  <si>
    <t>28/06/2026</t>
  </si>
  <si>
    <t>1091</t>
  </si>
  <si>
    <t>mateo.ramirez2@correo.co</t>
  </si>
  <si>
    <t>01/08/1985</t>
  </si>
  <si>
    <t>25/03/2026</t>
  </si>
  <si>
    <t>13/05/2026</t>
  </si>
  <si>
    <t>1131</t>
  </si>
  <si>
    <t>Paula Sanchez</t>
  </si>
  <si>
    <t>paula.sanchez27@correo.co</t>
  </si>
  <si>
    <t>16/01/1983</t>
  </si>
  <si>
    <t>03/02/2026</t>
  </si>
  <si>
    <t>1034</t>
  </si>
  <si>
    <t>mateo.sanchez40@correo.co</t>
  </si>
  <si>
    <t>11/06/1972</t>
  </si>
  <si>
    <t>04/03/2026</t>
  </si>
  <si>
    <t>1068</t>
  </si>
  <si>
    <t>Mateo Hernandez</t>
  </si>
  <si>
    <t>mateo.hernandez40@correo.co</t>
  </si>
  <si>
    <t>30/05/1975</t>
  </si>
  <si>
    <t>12/06/2026</t>
  </si>
  <si>
    <t>20/06/2026</t>
  </si>
  <si>
    <t>1025</t>
  </si>
  <si>
    <t>Samuel Ramirez</t>
  </si>
  <si>
    <t>27/07/2004</t>
  </si>
  <si>
    <t>11/01/2026</t>
  </si>
  <si>
    <t>11/11/2025</t>
  </si>
  <si>
    <t>1027</t>
  </si>
  <si>
    <t>12</t>
  </si>
  <si>
    <t>Juan Perez</t>
  </si>
  <si>
    <t>juan.perez12@correo.co</t>
  </si>
  <si>
    <t>06/04/1977</t>
  </si>
  <si>
    <t>26/02/2026</t>
  </si>
  <si>
    <t>1106</t>
  </si>
  <si>
    <t>15</t>
  </si>
  <si>
    <t>Samuel Martinez</t>
  </si>
  <si>
    <t>28/01/1964</t>
  </si>
  <si>
    <t>02/06/2026</t>
  </si>
  <si>
    <t>1032</t>
  </si>
  <si>
    <t>Diego Lopez</t>
  </si>
  <si>
    <t>diego.lopez40@correo.co</t>
  </si>
  <si>
    <t>06/04/1982</t>
  </si>
  <si>
    <t>29/05/2026</t>
  </si>
  <si>
    <t>25/12/2025</t>
  </si>
  <si>
    <t>1056</t>
  </si>
  <si>
    <t>Camila Lopez</t>
  </si>
  <si>
    <t>camila.lopez4@correo.co</t>
  </si>
  <si>
    <t>22/11/1980</t>
  </si>
  <si>
    <t>26/06/2026</t>
  </si>
  <si>
    <t>07/03/2026</t>
  </si>
  <si>
    <t>1101</t>
  </si>
  <si>
    <t>Valentina Sanchez</t>
  </si>
  <si>
    <t>valentina.sanchez48@correo.co</t>
  </si>
  <si>
    <t>21/11/1971</t>
  </si>
  <si>
    <t>03/06/2026</t>
  </si>
  <si>
    <t>1010</t>
  </si>
  <si>
    <t>Santiago Torres</t>
  </si>
  <si>
    <t>santiago.torres59@correo.co</t>
  </si>
  <si>
    <t>15/01/2026</t>
  </si>
  <si>
    <t>1093</t>
  </si>
  <si>
    <t>38</t>
  </si>
  <si>
    <t>paula.ramirez38@correo.co</t>
  </si>
  <si>
    <t>1005</t>
  </si>
  <si>
    <t>Juan Gomez</t>
  </si>
  <si>
    <t>juan.gomez15@correo.co</t>
  </si>
  <si>
    <t>1037</t>
  </si>
  <si>
    <t>nicolas.ramirez41@correo.co</t>
  </si>
  <si>
    <t>18/06/1994</t>
  </si>
  <si>
    <t>30/12/2025</t>
  </si>
  <si>
    <t>1018</t>
  </si>
  <si>
    <t>Sofia Hernandez</t>
  </si>
  <si>
    <t>sofia.hernandez13@correo.co</t>
  </si>
  <si>
    <t>23/08/2003</t>
  </si>
  <si>
    <t>15/11/2025</t>
  </si>
  <si>
    <t>1097</t>
  </si>
  <si>
    <t>Maria Gonzalez</t>
  </si>
  <si>
    <t>maria.gonzalez22@correo.co</t>
  </si>
  <si>
    <t>19/02/2026</t>
  </si>
  <si>
    <t>1050</t>
  </si>
  <si>
    <t>22/10/1979</t>
  </si>
  <si>
    <t>03/12/2025</t>
  </si>
  <si>
    <t>1048</t>
  </si>
  <si>
    <t>6</t>
  </si>
  <si>
    <t>Maria Perez</t>
  </si>
  <si>
    <t>maria.perez6@correo.co</t>
  </si>
  <si>
    <t>17/09/1997</t>
  </si>
  <si>
    <t>29/03/2026</t>
  </si>
  <si>
    <t>1126</t>
  </si>
  <si>
    <t>Laura Torres</t>
  </si>
  <si>
    <t>27/08/1961</t>
  </si>
  <si>
    <t>1124</t>
  </si>
  <si>
    <t>juan.gonzalez44@correo.co</t>
  </si>
  <si>
    <t>18/01/1981</t>
  </si>
  <si>
    <t>03/04/2026</t>
  </si>
  <si>
    <t>1073</t>
  </si>
  <si>
    <t>sofia.hernandez32@correo.co</t>
  </si>
  <si>
    <t>22/01/1972</t>
  </si>
  <si>
    <t>02/02/2026</t>
  </si>
  <si>
    <t>1137</t>
  </si>
  <si>
    <t>Juan Sanchez</t>
  </si>
  <si>
    <t>juan.sanchez9@correo.co</t>
  </si>
  <si>
    <t>01/04/2001</t>
  </si>
  <si>
    <t>26/01/2026</t>
  </si>
  <si>
    <t>1062</t>
  </si>
  <si>
    <t>06/03/1965</t>
  </si>
  <si>
    <t>08/05/2026</t>
  </si>
  <si>
    <t>1135</t>
  </si>
  <si>
    <t>11/07/1987</t>
  </si>
  <si>
    <t>1121</t>
  </si>
  <si>
    <t>Julian Gomez</t>
  </si>
  <si>
    <t>julian.gomez44@correo.co</t>
  </si>
  <si>
    <t>12/11/1987</t>
  </si>
  <si>
    <t>04/06/2026</t>
  </si>
  <si>
    <t>1110</t>
  </si>
  <si>
    <t>54</t>
  </si>
  <si>
    <t>Laura Rodriguez</t>
  </si>
  <si>
    <t>laura.rodriguez54@correo.co</t>
  </si>
  <si>
    <t>22/06/1995</t>
  </si>
  <si>
    <t>14/01/2026</t>
  </si>
  <si>
    <t>1129</t>
  </si>
  <si>
    <t>10</t>
  </si>
  <si>
    <t>Camila Torres</t>
  </si>
  <si>
    <t>camila.torres10@correo.co</t>
  </si>
  <si>
    <t>25/07/2005</t>
  </si>
  <si>
    <t>27/03/2026</t>
  </si>
  <si>
    <t>1114</t>
  </si>
  <si>
    <t>mateo.ramirez12@correo.co</t>
  </si>
  <si>
    <t>31/01/2026</t>
  </si>
  <si>
    <t>1040</t>
  </si>
  <si>
    <t>Andres Gonzalez</t>
  </si>
  <si>
    <t>andres.gonzalez2@correo.co</t>
  </si>
  <si>
    <t>22/10/1969</t>
  </si>
  <si>
    <t>07/01/2026</t>
  </si>
  <si>
    <t>18/02/2026</t>
  </si>
  <si>
    <t>1104</t>
  </si>
  <si>
    <t>Samuel Gonzalez</t>
  </si>
  <si>
    <t>20/05/1986</t>
  </si>
  <si>
    <t>1139</t>
  </si>
  <si>
    <t>santiago.torres56@correo.co</t>
  </si>
  <si>
    <t>01/06/1975</t>
  </si>
  <si>
    <t>13/02/2026</t>
  </si>
  <si>
    <t>1026</t>
  </si>
  <si>
    <t>daniela.hernandez58@correo.co</t>
  </si>
  <si>
    <t>24/09/1986</t>
  </si>
  <si>
    <t>07/11/2025</t>
  </si>
  <si>
    <t>1090</t>
  </si>
  <si>
    <t>Nicolas Gomez</t>
  </si>
  <si>
    <t>nicolas.gomez54@correo.co</t>
  </si>
  <si>
    <t>20/09/1982</t>
  </si>
  <si>
    <t>16/02/2026</t>
  </si>
  <si>
    <t>1036</t>
  </si>
  <si>
    <t>juan.sanchez39@correo.co</t>
  </si>
  <si>
    <t>14/04/2000</t>
  </si>
  <si>
    <t>10/02/2026</t>
  </si>
  <si>
    <t>1123</t>
  </si>
  <si>
    <t>Julian Hernandez</t>
  </si>
  <si>
    <t>julian.hernandez17@correo.co</t>
  </si>
  <si>
    <t>25/01/1999</t>
  </si>
  <si>
    <t>1109</t>
  </si>
  <si>
    <t>nicolas.gomez9@correo.co</t>
  </si>
  <si>
    <t>01/10/2004</t>
  </si>
  <si>
    <t>14/03/2026</t>
  </si>
  <si>
    <t>1028</t>
  </si>
  <si>
    <t>23</t>
  </si>
  <si>
    <t>sofia.hernandez23@correo.co</t>
  </si>
  <si>
    <t>30/09/1990</t>
  </si>
  <si>
    <t>18/03/2026</t>
  </si>
  <si>
    <t>1071</t>
  </si>
  <si>
    <t>02/11/1981</t>
  </si>
  <si>
    <t>19/03/2026</t>
  </si>
  <si>
    <t>1136</t>
  </si>
  <si>
    <t>Isabella Martinez</t>
  </si>
  <si>
    <t>isabella.martinez40@correo.co</t>
  </si>
  <si>
    <t>03/06/1985</t>
  </si>
  <si>
    <t>1031</t>
  </si>
  <si>
    <t>Sofia Ramirez</t>
  </si>
  <si>
    <t>sofia.ramirez47@correo.co</t>
  </si>
  <si>
    <t>06/02/1991</t>
  </si>
  <si>
    <t>15/12/2025</t>
  </si>
  <si>
    <t>1024</t>
  </si>
  <si>
    <t>02/07/1978</t>
  </si>
  <si>
    <t>1061</t>
  </si>
  <si>
    <t>Valentina Hernandez</t>
  </si>
  <si>
    <t>valentina.hernandez29@correo.co</t>
  </si>
  <si>
    <t>03/11/1980</t>
  </si>
  <si>
    <t>08/01/2026</t>
  </si>
  <si>
    <t>22/03/2026</t>
  </si>
  <si>
    <t>1078</t>
  </si>
  <si>
    <t>1033</t>
  </si>
  <si>
    <t>paula.martinez33@correo.co</t>
  </si>
  <si>
    <t>26/01/1985</t>
  </si>
  <si>
    <t>1088</t>
  </si>
  <si>
    <t>8</t>
  </si>
  <si>
    <t>Laura Gonzalez</t>
  </si>
  <si>
    <t>laura.gonzalez8@correo.co</t>
  </si>
  <si>
    <t>10/12/1992</t>
  </si>
  <si>
    <t>28/12/2025</t>
  </si>
  <si>
    <t>1102</t>
  </si>
  <si>
    <t>mateo.ramirez22@correo.co</t>
  </si>
  <si>
    <t>14/05/2026</t>
  </si>
  <si>
    <t>1082</t>
  </si>
  <si>
    <t>manuela.gomez51@correo.co</t>
  </si>
  <si>
    <t>30/08/1966</t>
  </si>
  <si>
    <t>31/03/2026</t>
  </si>
  <si>
    <t>1127</t>
  </si>
  <si>
    <t>Samuel Perez</t>
  </si>
  <si>
    <t>samuel.perez50@correo.co</t>
  </si>
  <si>
    <t>20/02/1966</t>
  </si>
  <si>
    <t>1092</t>
  </si>
  <si>
    <t>Valentina Rodriguez</t>
  </si>
  <si>
    <t>valentina.rodriguez40@correo.co</t>
  </si>
  <si>
    <t>28/07/1998</t>
  </si>
  <si>
    <t>25/02/2026</t>
  </si>
  <si>
    <t>23/04/2026</t>
  </si>
  <si>
    <t>1111</t>
  </si>
  <si>
    <t>Santiago Gonzalez</t>
  </si>
  <si>
    <t>santiago.gonzalez15@correo.co</t>
  </si>
  <si>
    <t>29/01/1985</t>
  </si>
  <si>
    <t>15/03/2026</t>
  </si>
  <si>
    <t>1098</t>
  </si>
  <si>
    <t>16</t>
  </si>
  <si>
    <t>isabella.martinez16@correo.co</t>
  </si>
  <si>
    <t>18/09/1968</t>
  </si>
  <si>
    <t>29/04/2026</t>
  </si>
  <si>
    <t>1086</t>
  </si>
  <si>
    <t>gabriela.hernandez55@correo.co</t>
  </si>
  <si>
    <t>15/02/1992</t>
  </si>
  <si>
    <t>1045</t>
  </si>
  <si>
    <t>juan.gomez42@correo.co</t>
  </si>
  <si>
    <t>20/06/1964</t>
  </si>
  <si>
    <t>07/04/2026</t>
  </si>
  <si>
    <t>1069</t>
  </si>
  <si>
    <t>Valentina Gonzalez</t>
  </si>
  <si>
    <t>valentina.gonzalez2@correo.co</t>
  </si>
  <si>
    <t>17/08/1988</t>
  </si>
  <si>
    <t>16/05/2026</t>
  </si>
  <si>
    <t>1087</t>
  </si>
  <si>
    <t>Paula Rodriguez</t>
  </si>
  <si>
    <t>21/04/2026</t>
  </si>
  <si>
    <t>1117</t>
  </si>
  <si>
    <t>Andres Ramirez</t>
  </si>
  <si>
    <t>andres.ramirez33@correo.co</t>
  </si>
  <si>
    <t>16/06/2026</t>
  </si>
  <si>
    <t>1044</t>
  </si>
  <si>
    <t>Andres Perez</t>
  </si>
  <si>
    <t>andres.perez37@correo.co</t>
  </si>
  <si>
    <t>14/10/1976</t>
  </si>
  <si>
    <t>1096</t>
  </si>
  <si>
    <t>Manuela Sanchez</t>
  </si>
  <si>
    <t>manuela.sanchez52@correo.co</t>
  </si>
  <si>
    <t>27/11/1962</t>
  </si>
  <si>
    <t>22/04/2026</t>
  </si>
  <si>
    <t>1122</t>
  </si>
  <si>
    <t>Diego Martinez</t>
  </si>
  <si>
    <t>diego.martinez5@correo.co</t>
  </si>
  <si>
    <t>02/01/1980</t>
  </si>
  <si>
    <t>1083</t>
  </si>
  <si>
    <t>Santiago Martinez</t>
  </si>
  <si>
    <t>santiago.martinez21@correo.co</t>
  </si>
  <si>
    <t>07/10/1992</t>
  </si>
  <si>
    <t>1053</t>
  </si>
  <si>
    <t>Manuela Torres</t>
  </si>
  <si>
    <t>manuela.torres39@correo.co</t>
  </si>
  <si>
    <t>02/06/1995</t>
  </si>
  <si>
    <t>20/03/2026</t>
  </si>
  <si>
    <t>1132</t>
  </si>
  <si>
    <t>julian.hernandez18@correo.co</t>
  </si>
  <si>
    <t>1035</t>
  </si>
  <si>
    <t>Isabella Perez</t>
  </si>
  <si>
    <t>isabella.perez56@correo.co</t>
  </si>
  <si>
    <t>20/06/2001</t>
  </si>
  <si>
    <t>24/03/2026</t>
  </si>
  <si>
    <t>1015</t>
  </si>
  <si>
    <t>isabella.gomez44@correo.co</t>
  </si>
  <si>
    <t>20/10/1964</t>
  </si>
  <si>
    <t>1120</t>
  </si>
  <si>
    <t>Manuela Perez</t>
  </si>
  <si>
    <t>manuela.perez23@correo.co</t>
  </si>
  <si>
    <t>23/02/1960</t>
  </si>
  <si>
    <t>05/04/2026</t>
  </si>
  <si>
    <t>1128</t>
  </si>
  <si>
    <t>Sofia Rodriguez</t>
  </si>
  <si>
    <t>sofia.rodriguez58@correo.co</t>
  </si>
  <si>
    <t>01/06/2004</t>
  </si>
  <si>
    <t>1052</t>
  </si>
  <si>
    <t>paula.rodriguez17@correo.co</t>
  </si>
  <si>
    <t>24/08/1961</t>
  </si>
  <si>
    <t>1105</t>
  </si>
  <si>
    <t>14/08/2000</t>
  </si>
  <si>
    <t>21/03/2026</t>
  </si>
  <si>
    <t>20/12/2025</t>
  </si>
  <si>
    <t>1038</t>
  </si>
  <si>
    <t>Samuel Hernandez</t>
  </si>
  <si>
    <t>06/09/2003</t>
  </si>
  <si>
    <t>22/02/2026</t>
  </si>
  <si>
    <t>06/11/2025</t>
  </si>
  <si>
    <t>1107</t>
  </si>
  <si>
    <t>23/04/1976</t>
  </si>
  <si>
    <t>1080</t>
  </si>
  <si>
    <t>daniela.rodriguez55@correo.co</t>
  </si>
  <si>
    <t>07/03/1987</t>
  </si>
  <si>
    <t>Datos brutos sin limpiar: correos/fechas de nacimiento/precios faltantes, clase escrita de forma incoherente (1era/1ra/primera/2da/segunda/2nda), duplicados intencionales.</t>
  </si>
  <si>
    <t>Analisis de la base Billetes_Brutos</t>
  </si>
  <si>
    <t>Rango de datos: Billetes_Brutos!A2:M147  (146 filas)</t>
  </si>
  <si>
    <t>1. CONTAR.BLANCO (COUNTBLANK) - valores faltantes</t>
  </si>
  <si>
    <t>Correos faltantes</t>
  </si>
  <si>
    <t>Fechas de nacimiento faltantes</t>
  </si>
  <si>
    <t>Precios faltantes</t>
  </si>
  <si>
    <t>2. CONTARA (COUNTA) - celdas no vacias</t>
  </si>
  <si>
    <t>Numero total de billetes registrados</t>
  </si>
  <si>
    <t>Numero de estaciones de salida registradas</t>
  </si>
  <si>
    <t>3. CONTAR.SI (COUNTIF) - conteo con un criterio</t>
  </si>
  <si>
    <t>Billetes anulados</t>
  </si>
  <si>
    <t>Billetes reembolsados</t>
  </si>
  <si>
    <t>Billetes primera clase (etiqueta exacta "1era")</t>
  </si>
  <si>
    <t>Clientes abonados (tipo_cliente)</t>
  </si>
  <si>
    <t>4. CONTAR.SI multicriterio (dos CONTAR.SI combinados / CONTAR.SI.CONJUNTO)</t>
  </si>
  <si>
    <t>Billetes primera clase Y anulados (SUMAPRODUCTO multicriterio)</t>
  </si>
  <si>
    <t>Lo mismo con CONTAR.SI.CONJUNTO (equivalente nativo)</t>
  </si>
  <si>
    <t>5. SUMAPRODUCTO(CONTAR.SI(...)) - conteo sobre varios valores (OR)</t>
  </si>
  <si>
    <t>Billetes primera clase, todas las variantes (1era/1ra/primera)</t>
  </si>
  <si>
    <t>Billetes segunda clase, todas las variantes (2da/segunda/2nda)</t>
  </si>
  <si>
    <t>6. Deteccion de duplicados (id_billete) con SUMAPRODUCTO</t>
  </si>
  <si>
    <t>Numero de filas duplicadas (id_billete que aparece mas de una vez)</t>
  </si>
  <si>
    <t>7. Indicador de negocio: billetes pagados por estacion de salida</t>
  </si>
  <si>
    <t>Ej. billetes pagados desde Bogota Central</t>
  </si>
  <si>
    <t>Ingreso total en COP (billetes pagados)</t>
  </si>
  <si>
    <t>8. Comparacion Bruto vs Limpio (efecto del ETL)</t>
  </si>
  <si>
    <t>Numero de billetes - Bruto</t>
  </si>
  <si>
    <t>Numero de billetes - Limpio (sin duplicados)</t>
  </si>
  <si>
    <t>Correos senalados como "Sin correo" (originalmente vacios) - Limpio</t>
  </si>
  <si>
    <t>Precios por confirmar - Limpio</t>
  </si>
  <si>
    <t>Ingreso real (COP) - Limpio, solo pagados</t>
  </si>
  <si>
    <t>Variante en Billetes_Brutos</t>
  </si>
  <si>
    <t>Clase uniforme</t>
  </si>
  <si>
    <t>Primera</t>
  </si>
  <si>
    <t>Segunda</t>
  </si>
  <si>
    <t>Tabla usada por la columna 'Clase_Uniforme' en Billetes_Brutos (VLOOKUP) para uniformizar las variantes de la columna 'clase'.</t>
  </si>
  <si>
    <t>Base limpia: 140 billetes unicos (se retiraron 6 duplicados). Clase uniformizada via Referencias. Correos/fechas de nacimiento/precios faltantes senalados en vez de inventados (revisar antes de un uso comercial real).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</si>
</sst>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COP&quot;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color rgb="FF808080"/>
      <name val="Arial"/>
      <charset val="1"/>
    </font>
    <font>
      <b/>
      <sz val="14"/>
      <name val="Arial"/>
      <charset val="1"/>
    </font>
    <font>
      <b/>
      <sz val="11"/>
      <color rgb="FF1F4E78"/>
      <name val="Arial"/>
      <charset val="1"/>
    </font>
    <font>
      <sz val="11"/>
      <color rgb="FF0061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6B0A"/>
        <bgColor rgb="FFFF99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26B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"/>
  <sheetViews>
    <sheetView topLeftCell="I1" zoomScaleNormal="100" workbookViewId="0">
      <pane ySplit="1" topLeftCell="A133" activePane="bottomLeft" state="frozen"/>
      <selection pane="bottomLeft" activeCell="S43" sqref="S43"/>
    </sheetView>
  </sheetViews>
  <sheetFormatPr baseColWidth="10" defaultColWidth="8.6640625" defaultRowHeight="14.4" x14ac:dyDescent="0.3"/>
  <cols>
    <col min="1" max="2" width="11" customWidth="1"/>
    <col min="3" max="3" width="18" customWidth="1"/>
    <col min="4" max="4" width="29.77734375" customWidth="1"/>
    <col min="5" max="5" width="18.77734375" customWidth="1"/>
    <col min="6" max="6" width="13" customWidth="1"/>
    <col min="7" max="8" width="18" customWidth="1"/>
    <col min="9" max="9" width="13" customWidth="1"/>
    <col min="10" max="10" width="10" customWidth="1"/>
    <col min="11" max="11" width="13" customWidth="1"/>
    <col min="12" max="12" width="16" customWidth="1"/>
    <col min="13" max="13" width="18.5546875" customWidth="1"/>
    <col min="14" max="17" width="16" customWidth="1"/>
  </cols>
  <sheetData>
    <row r="1" spans="1:1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customHeight="1" x14ac:dyDescent="0.3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4">
        <v>47800</v>
      </c>
      <c r="M2" s="3" t="s">
        <v>28</v>
      </c>
      <c r="N2" s="3" t="str">
        <f>IF(COUNTIF($A$2:A2,A2)&gt;1,"Si","No")</f>
        <v>No</v>
      </c>
      <c r="O2" s="3" t="str">
        <f>VLOOKUP(J2,Referencias!$A$2:$B$7,2,FALSE())</f>
        <v>Segunda</v>
      </c>
      <c r="P2" s="3" t="str">
        <f t="shared" ref="P2:P33" si="0">IF(D2="","Faltante","OK")</f>
        <v>OK</v>
      </c>
      <c r="Q2" s="3" t="str">
        <f t="shared" ref="Q2:Q33" si="1">IF(L2="","Faltante","OK")</f>
        <v>OK</v>
      </c>
    </row>
    <row r="3" spans="1:17" ht="15" customHeight="1" x14ac:dyDescent="0.3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25</v>
      </c>
      <c r="J3" s="3" t="s">
        <v>37</v>
      </c>
      <c r="K3" s="3" t="s">
        <v>27</v>
      </c>
      <c r="L3" s="4">
        <v>167300</v>
      </c>
      <c r="M3" s="3" t="s">
        <v>38</v>
      </c>
      <c r="N3" s="3" t="str">
        <f>IF(COUNTIF($A$2:A3,A3)&gt;1,"Si","No")</f>
        <v>No</v>
      </c>
      <c r="O3" s="3" t="str">
        <f>VLOOKUP(J3,Referencias!$A$2:$B$7,2,FALSE())</f>
        <v>Primera</v>
      </c>
      <c r="P3" s="3" t="str">
        <f t="shared" si="0"/>
        <v>OK</v>
      </c>
      <c r="Q3" s="3" t="str">
        <f t="shared" si="1"/>
        <v>OK</v>
      </c>
    </row>
    <row r="4" spans="1:17" ht="15" customHeight="1" x14ac:dyDescent="0.3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34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27</v>
      </c>
      <c r="L4" s="4">
        <v>103800</v>
      </c>
      <c r="M4" s="3" t="s">
        <v>48</v>
      </c>
      <c r="N4" s="3" t="str">
        <f>IF(COUNTIF($A$2:A4,A4)&gt;1,"Si","No")</f>
        <v>No</v>
      </c>
      <c r="O4" s="3" t="str">
        <f>VLOOKUP(J4,Referencias!$A$2:$B$7,2,FALSE())</f>
        <v>Primera</v>
      </c>
      <c r="P4" s="3" t="str">
        <f t="shared" si="0"/>
        <v>OK</v>
      </c>
      <c r="Q4" s="3" t="str">
        <f t="shared" si="1"/>
        <v>OK</v>
      </c>
    </row>
    <row r="5" spans="1:17" ht="15" customHeight="1" x14ac:dyDescent="0.3">
      <c r="A5" s="3" t="s">
        <v>49</v>
      </c>
      <c r="B5" s="3" t="s">
        <v>50</v>
      </c>
      <c r="C5" s="3" t="s">
        <v>51</v>
      </c>
      <c r="D5" s="3"/>
      <c r="E5" s="3" t="s">
        <v>52</v>
      </c>
      <c r="F5" s="3" t="s">
        <v>22</v>
      </c>
      <c r="G5" s="3" t="s">
        <v>45</v>
      </c>
      <c r="H5" s="3" t="s">
        <v>53</v>
      </c>
      <c r="I5" s="3" t="s">
        <v>54</v>
      </c>
      <c r="J5" s="3" t="s">
        <v>55</v>
      </c>
      <c r="K5" s="3" t="s">
        <v>56</v>
      </c>
      <c r="L5" s="4">
        <v>306500</v>
      </c>
      <c r="M5" s="3" t="s">
        <v>57</v>
      </c>
      <c r="N5" s="3" t="str">
        <f>IF(COUNTIF($A$2:A5,A5)&gt;1,"Si","No")</f>
        <v>No</v>
      </c>
      <c r="O5" s="3" t="str">
        <f>VLOOKUP(J5,Referencias!$A$2:$B$7,2,FALSE())</f>
        <v>Segunda</v>
      </c>
      <c r="P5" s="3" t="str">
        <f t="shared" si="0"/>
        <v>Faltante</v>
      </c>
      <c r="Q5" s="3" t="str">
        <f t="shared" si="1"/>
        <v>OK</v>
      </c>
    </row>
    <row r="6" spans="1:17" ht="15" customHeight="1" x14ac:dyDescent="0.3">
      <c r="A6" s="3" t="s">
        <v>58</v>
      </c>
      <c r="B6" s="3" t="s">
        <v>59</v>
      </c>
      <c r="C6" s="3" t="s">
        <v>60</v>
      </c>
      <c r="D6" s="3" t="s">
        <v>61</v>
      </c>
      <c r="E6" s="3"/>
      <c r="F6" s="3" t="s">
        <v>34</v>
      </c>
      <c r="G6" s="3" t="s">
        <v>35</v>
      </c>
      <c r="H6" s="3" t="s">
        <v>24</v>
      </c>
      <c r="I6" s="3" t="s">
        <v>62</v>
      </c>
      <c r="J6" s="3" t="s">
        <v>55</v>
      </c>
      <c r="K6" s="3" t="s">
        <v>27</v>
      </c>
      <c r="L6" s="4">
        <v>271200</v>
      </c>
      <c r="M6" s="3" t="s">
        <v>63</v>
      </c>
      <c r="N6" s="3" t="str">
        <f>IF(COUNTIF($A$2:A6,A6)&gt;1,"Si","No")</f>
        <v>No</v>
      </c>
      <c r="O6" s="3" t="str">
        <f>VLOOKUP(J6,Referencias!$A$2:$B$7,2,FALSE())</f>
        <v>Segunda</v>
      </c>
      <c r="P6" s="3" t="str">
        <f t="shared" si="0"/>
        <v>OK</v>
      </c>
      <c r="Q6" s="3" t="str">
        <f t="shared" si="1"/>
        <v>OK</v>
      </c>
    </row>
    <row r="7" spans="1:17" ht="15" customHeight="1" x14ac:dyDescent="0.3">
      <c r="A7" s="3" t="s">
        <v>64</v>
      </c>
      <c r="B7" s="3" t="s">
        <v>65</v>
      </c>
      <c r="C7" s="3" t="s">
        <v>66</v>
      </c>
      <c r="D7" s="3" t="s">
        <v>67</v>
      </c>
      <c r="E7" s="3" t="s">
        <v>68</v>
      </c>
      <c r="F7" s="3" t="s">
        <v>34</v>
      </c>
      <c r="G7" s="3" t="s">
        <v>44</v>
      </c>
      <c r="H7" s="3" t="s">
        <v>23</v>
      </c>
      <c r="I7" s="3" t="s">
        <v>69</v>
      </c>
      <c r="J7" s="3" t="s">
        <v>37</v>
      </c>
      <c r="K7" s="3" t="s">
        <v>70</v>
      </c>
      <c r="L7" s="4">
        <v>76700</v>
      </c>
      <c r="M7" s="3" t="s">
        <v>71</v>
      </c>
      <c r="N7" s="3" t="str">
        <f>IF(COUNTIF($A$2:A7,A7)&gt;1,"Si","No")</f>
        <v>No</v>
      </c>
      <c r="O7" s="3" t="str">
        <f>VLOOKUP(J7,Referencias!$A$2:$B$7,2,FALSE())</f>
        <v>Primera</v>
      </c>
      <c r="P7" s="3" t="str">
        <f t="shared" si="0"/>
        <v>OK</v>
      </c>
      <c r="Q7" s="3" t="str">
        <f t="shared" si="1"/>
        <v>OK</v>
      </c>
    </row>
    <row r="8" spans="1:17" ht="15" customHeight="1" x14ac:dyDescent="0.3">
      <c r="A8" s="3" t="s">
        <v>72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34</v>
      </c>
      <c r="G8" s="3" t="s">
        <v>24</v>
      </c>
      <c r="H8" s="3" t="s">
        <v>35</v>
      </c>
      <c r="I8" s="3" t="s">
        <v>77</v>
      </c>
      <c r="J8" s="3" t="s">
        <v>78</v>
      </c>
      <c r="K8" s="3" t="s">
        <v>27</v>
      </c>
      <c r="L8" s="4">
        <v>270700</v>
      </c>
      <c r="M8" s="3" t="s">
        <v>79</v>
      </c>
      <c r="N8" s="3" t="str">
        <f>IF(COUNTIF($A$2:A8,A8)&gt;1,"Si","No")</f>
        <v>No</v>
      </c>
      <c r="O8" s="3" t="str">
        <f>VLOOKUP(J8,Referencias!$A$2:$B$7,2,FALSE())</f>
        <v>Segunda</v>
      </c>
      <c r="P8" s="3" t="str">
        <f t="shared" si="0"/>
        <v>OK</v>
      </c>
      <c r="Q8" s="3" t="str">
        <f t="shared" si="1"/>
        <v>OK</v>
      </c>
    </row>
    <row r="9" spans="1:17" ht="15" customHeight="1" x14ac:dyDescent="0.3">
      <c r="A9" s="3" t="s">
        <v>80</v>
      </c>
      <c r="B9" s="3" t="s">
        <v>65</v>
      </c>
      <c r="C9" s="3" t="s">
        <v>81</v>
      </c>
      <c r="D9" s="3" t="s">
        <v>82</v>
      </c>
      <c r="E9" s="3" t="s">
        <v>83</v>
      </c>
      <c r="F9" s="3" t="s">
        <v>34</v>
      </c>
      <c r="G9" s="3" t="s">
        <v>44</v>
      </c>
      <c r="H9" s="3" t="s">
        <v>84</v>
      </c>
      <c r="I9" s="3" t="s">
        <v>48</v>
      </c>
      <c r="J9" s="3" t="s">
        <v>78</v>
      </c>
      <c r="K9" s="3" t="s">
        <v>27</v>
      </c>
      <c r="L9" s="4">
        <v>221000</v>
      </c>
      <c r="M9" s="3" t="s">
        <v>85</v>
      </c>
      <c r="N9" s="3" t="str">
        <f>IF(COUNTIF($A$2:A9,A9)&gt;1,"Si","No")</f>
        <v>No</v>
      </c>
      <c r="O9" s="3" t="str">
        <f>VLOOKUP(J9,Referencias!$A$2:$B$7,2,FALSE())</f>
        <v>Segunda</v>
      </c>
      <c r="P9" s="3" t="str">
        <f t="shared" si="0"/>
        <v>OK</v>
      </c>
      <c r="Q9" s="3" t="str">
        <f t="shared" si="1"/>
        <v>OK</v>
      </c>
    </row>
    <row r="10" spans="1:17" ht="15" customHeight="1" x14ac:dyDescent="0.3">
      <c r="A10" s="3" t="s">
        <v>86</v>
      </c>
      <c r="B10" s="3" t="s">
        <v>87</v>
      </c>
      <c r="C10" s="3" t="s">
        <v>88</v>
      </c>
      <c r="D10" s="3" t="s">
        <v>89</v>
      </c>
      <c r="E10" s="3" t="s">
        <v>90</v>
      </c>
      <c r="F10" s="3" t="s">
        <v>22</v>
      </c>
      <c r="G10" s="3" t="s">
        <v>91</v>
      </c>
      <c r="H10" s="3" t="s">
        <v>45</v>
      </c>
      <c r="I10" s="3" t="s">
        <v>92</v>
      </c>
      <c r="J10" s="3" t="s">
        <v>26</v>
      </c>
      <c r="K10" s="3" t="s">
        <v>27</v>
      </c>
      <c r="L10" s="4">
        <v>273400</v>
      </c>
      <c r="M10" s="3" t="s">
        <v>93</v>
      </c>
      <c r="N10" s="3" t="str">
        <f>IF(COUNTIF($A$2:A10,A10)&gt;1,"Si","No")</f>
        <v>No</v>
      </c>
      <c r="O10" s="3" t="str">
        <f>VLOOKUP(J10,Referencias!$A$2:$B$7,2,FALSE())</f>
        <v>Segunda</v>
      </c>
      <c r="P10" s="3" t="str">
        <f t="shared" si="0"/>
        <v>OK</v>
      </c>
      <c r="Q10" s="3" t="str">
        <f t="shared" si="1"/>
        <v>OK</v>
      </c>
    </row>
    <row r="11" spans="1:17" ht="15" customHeight="1" x14ac:dyDescent="0.3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22</v>
      </c>
      <c r="G11" s="3" t="s">
        <v>44</v>
      </c>
      <c r="H11" s="3" t="s">
        <v>35</v>
      </c>
      <c r="I11" s="3" t="s">
        <v>99</v>
      </c>
      <c r="J11" s="3" t="s">
        <v>100</v>
      </c>
      <c r="K11" s="3" t="s">
        <v>27</v>
      </c>
      <c r="L11" s="4">
        <v>170200</v>
      </c>
      <c r="M11" s="3" t="s">
        <v>101</v>
      </c>
      <c r="N11" s="3" t="str">
        <f>IF(COUNTIF($A$2:A11,A11)&gt;1,"Si","No")</f>
        <v>No</v>
      </c>
      <c r="O11" s="3" t="str">
        <f>VLOOKUP(J11,Referencias!$A$2:$B$7,2,FALSE())</f>
        <v>Primera</v>
      </c>
      <c r="P11" s="3" t="str">
        <f t="shared" si="0"/>
        <v>OK</v>
      </c>
      <c r="Q11" s="3" t="str">
        <f t="shared" si="1"/>
        <v>OK</v>
      </c>
    </row>
    <row r="12" spans="1:17" ht="15" customHeight="1" x14ac:dyDescent="0.3">
      <c r="A12" s="3" t="s">
        <v>102</v>
      </c>
      <c r="B12" s="3" t="s">
        <v>103</v>
      </c>
      <c r="C12" s="3" t="s">
        <v>104</v>
      </c>
      <c r="D12" s="3" t="s">
        <v>105</v>
      </c>
      <c r="E12" s="3" t="s">
        <v>106</v>
      </c>
      <c r="F12" s="3" t="s">
        <v>22</v>
      </c>
      <c r="G12" s="3" t="s">
        <v>44</v>
      </c>
      <c r="H12" s="3" t="s">
        <v>36</v>
      </c>
      <c r="I12" s="3" t="s">
        <v>85</v>
      </c>
      <c r="J12" s="3" t="s">
        <v>55</v>
      </c>
      <c r="K12" s="3" t="s">
        <v>27</v>
      </c>
      <c r="L12" s="4">
        <v>284900</v>
      </c>
      <c r="M12" s="3" t="s">
        <v>107</v>
      </c>
      <c r="N12" s="3" t="str">
        <f>IF(COUNTIF($A$2:A12,A12)&gt;1,"Si","No")</f>
        <v>No</v>
      </c>
      <c r="O12" s="3" t="str">
        <f>VLOOKUP(J12,Referencias!$A$2:$B$7,2,FALSE())</f>
        <v>Segunda</v>
      </c>
      <c r="P12" s="3" t="str">
        <f t="shared" si="0"/>
        <v>OK</v>
      </c>
      <c r="Q12" s="3" t="str">
        <f t="shared" si="1"/>
        <v>OK</v>
      </c>
    </row>
    <row r="13" spans="1:17" ht="15" customHeight="1" x14ac:dyDescent="0.3">
      <c r="A13" s="3" t="s">
        <v>108</v>
      </c>
      <c r="B13" s="3" t="s">
        <v>65</v>
      </c>
      <c r="C13" s="3" t="s">
        <v>109</v>
      </c>
      <c r="D13" s="3" t="s">
        <v>110</v>
      </c>
      <c r="E13" s="3"/>
      <c r="F13" s="3" t="s">
        <v>34</v>
      </c>
      <c r="G13" s="3" t="s">
        <v>53</v>
      </c>
      <c r="H13" s="3" t="s">
        <v>91</v>
      </c>
      <c r="I13" s="3" t="s">
        <v>111</v>
      </c>
      <c r="J13" s="3" t="s">
        <v>47</v>
      </c>
      <c r="K13" s="3" t="s">
        <v>56</v>
      </c>
      <c r="L13" s="4">
        <v>62500</v>
      </c>
      <c r="M13" s="3" t="s">
        <v>112</v>
      </c>
      <c r="N13" s="3" t="str">
        <f>IF(COUNTIF($A$2:A13,A13)&gt;1,"Si","No")</f>
        <v>No</v>
      </c>
      <c r="O13" s="3" t="str">
        <f>VLOOKUP(J13,Referencias!$A$2:$B$7,2,FALSE())</f>
        <v>Primera</v>
      </c>
      <c r="P13" s="3" t="str">
        <f t="shared" si="0"/>
        <v>OK</v>
      </c>
      <c r="Q13" s="3" t="str">
        <f t="shared" si="1"/>
        <v>OK</v>
      </c>
    </row>
    <row r="14" spans="1:17" ht="15" customHeight="1" x14ac:dyDescent="0.3">
      <c r="A14" s="3" t="s">
        <v>113</v>
      </c>
      <c r="B14" s="3" t="s">
        <v>114</v>
      </c>
      <c r="C14" s="3" t="s">
        <v>115</v>
      </c>
      <c r="D14" s="3" t="s">
        <v>116</v>
      </c>
      <c r="E14" s="3" t="s">
        <v>117</v>
      </c>
      <c r="F14" s="3" t="s">
        <v>34</v>
      </c>
      <c r="G14" s="3" t="s">
        <v>36</v>
      </c>
      <c r="H14" s="3" t="s">
        <v>44</v>
      </c>
      <c r="I14" s="3" t="s">
        <v>118</v>
      </c>
      <c r="J14" s="3" t="s">
        <v>26</v>
      </c>
      <c r="K14" s="3" t="s">
        <v>27</v>
      </c>
      <c r="L14" s="4">
        <v>212500</v>
      </c>
      <c r="M14" s="3" t="s">
        <v>119</v>
      </c>
      <c r="N14" s="3" t="str">
        <f>IF(COUNTIF($A$2:A14,A14)&gt;1,"Si","No")</f>
        <v>No</v>
      </c>
      <c r="O14" s="3" t="str">
        <f>VLOOKUP(J14,Referencias!$A$2:$B$7,2,FALSE())</f>
        <v>Segunda</v>
      </c>
      <c r="P14" s="3" t="str">
        <f t="shared" si="0"/>
        <v>OK</v>
      </c>
      <c r="Q14" s="3" t="str">
        <f t="shared" si="1"/>
        <v>OK</v>
      </c>
    </row>
    <row r="15" spans="1:17" ht="15" customHeight="1" x14ac:dyDescent="0.3">
      <c r="A15" s="3" t="s">
        <v>120</v>
      </c>
      <c r="B15" s="3" t="s">
        <v>121</v>
      </c>
      <c r="C15" s="3" t="s">
        <v>122</v>
      </c>
      <c r="D15" s="3" t="s">
        <v>123</v>
      </c>
      <c r="E15" s="3" t="s">
        <v>124</v>
      </c>
      <c r="F15" s="3" t="s">
        <v>34</v>
      </c>
      <c r="G15" s="3" t="s">
        <v>91</v>
      </c>
      <c r="H15" s="3" t="s">
        <v>45</v>
      </c>
      <c r="I15" s="3" t="s">
        <v>125</v>
      </c>
      <c r="J15" s="3" t="s">
        <v>78</v>
      </c>
      <c r="K15" s="3" t="s">
        <v>27</v>
      </c>
      <c r="L15" s="4">
        <v>54000</v>
      </c>
      <c r="M15" s="3" t="s">
        <v>126</v>
      </c>
      <c r="N15" s="3" t="str">
        <f>IF(COUNTIF($A$2:A15,A15)&gt;1,"Si","No")</f>
        <v>No</v>
      </c>
      <c r="O15" s="3" t="str">
        <f>VLOOKUP(J15,Referencias!$A$2:$B$7,2,FALSE())</f>
        <v>Segunda</v>
      </c>
      <c r="P15" s="3" t="str">
        <f t="shared" si="0"/>
        <v>OK</v>
      </c>
      <c r="Q15" s="3" t="str">
        <f t="shared" si="1"/>
        <v>OK</v>
      </c>
    </row>
    <row r="16" spans="1:17" ht="15" customHeight="1" x14ac:dyDescent="0.3">
      <c r="A16" s="3" t="s">
        <v>127</v>
      </c>
      <c r="B16" s="3" t="s">
        <v>128</v>
      </c>
      <c r="C16" s="3" t="s">
        <v>129</v>
      </c>
      <c r="D16" s="3" t="s">
        <v>130</v>
      </c>
      <c r="E16" s="3" t="s">
        <v>131</v>
      </c>
      <c r="F16" s="3" t="s">
        <v>34</v>
      </c>
      <c r="G16" s="3" t="s">
        <v>35</v>
      </c>
      <c r="H16" s="3" t="s">
        <v>23</v>
      </c>
      <c r="I16" s="3" t="s">
        <v>132</v>
      </c>
      <c r="J16" s="3" t="s">
        <v>100</v>
      </c>
      <c r="K16" s="3" t="s">
        <v>27</v>
      </c>
      <c r="L16" s="4">
        <v>172900</v>
      </c>
      <c r="M16" s="3" t="s">
        <v>126</v>
      </c>
      <c r="N16" s="3" t="str">
        <f>IF(COUNTIF($A$2:A16,A16)&gt;1,"Si","No")</f>
        <v>No</v>
      </c>
      <c r="O16" s="3" t="str">
        <f>VLOOKUP(J16,Referencias!$A$2:$B$7,2,FALSE())</f>
        <v>Primera</v>
      </c>
      <c r="P16" s="3" t="str">
        <f t="shared" si="0"/>
        <v>OK</v>
      </c>
      <c r="Q16" s="3" t="str">
        <f t="shared" si="1"/>
        <v>OK</v>
      </c>
    </row>
    <row r="17" spans="1:17" ht="15" customHeight="1" x14ac:dyDescent="0.3">
      <c r="A17" s="3" t="s">
        <v>133</v>
      </c>
      <c r="B17" s="3" t="s">
        <v>134</v>
      </c>
      <c r="C17" s="3" t="s">
        <v>135</v>
      </c>
      <c r="D17" s="3" t="s">
        <v>136</v>
      </c>
      <c r="E17" s="3" t="s">
        <v>137</v>
      </c>
      <c r="F17" s="3" t="s">
        <v>22</v>
      </c>
      <c r="G17" s="3" t="s">
        <v>36</v>
      </c>
      <c r="H17" s="3" t="s">
        <v>138</v>
      </c>
      <c r="I17" s="3" t="s">
        <v>139</v>
      </c>
      <c r="J17" s="3" t="s">
        <v>37</v>
      </c>
      <c r="K17" s="3" t="s">
        <v>27</v>
      </c>
      <c r="L17" s="4">
        <v>65200</v>
      </c>
      <c r="M17" s="3" t="s">
        <v>140</v>
      </c>
      <c r="N17" s="3" t="str">
        <f>IF(COUNTIF($A$2:A17,A17)&gt;1,"Si","No")</f>
        <v>No</v>
      </c>
      <c r="O17" s="3" t="str">
        <f>VLOOKUP(J17,Referencias!$A$2:$B$7,2,FALSE())</f>
        <v>Primera</v>
      </c>
      <c r="P17" s="3" t="str">
        <f t="shared" si="0"/>
        <v>OK</v>
      </c>
      <c r="Q17" s="3" t="str">
        <f t="shared" si="1"/>
        <v>OK</v>
      </c>
    </row>
    <row r="18" spans="1:17" ht="15" customHeight="1" x14ac:dyDescent="0.3">
      <c r="A18" s="3" t="s">
        <v>141</v>
      </c>
      <c r="B18" s="3" t="s">
        <v>142</v>
      </c>
      <c r="C18" s="3" t="s">
        <v>143</v>
      </c>
      <c r="D18" s="3" t="s">
        <v>144</v>
      </c>
      <c r="E18" s="3" t="s">
        <v>145</v>
      </c>
      <c r="F18" s="3" t="s">
        <v>34</v>
      </c>
      <c r="G18" s="3" t="s">
        <v>44</v>
      </c>
      <c r="H18" s="3" t="s">
        <v>35</v>
      </c>
      <c r="I18" s="3" t="s">
        <v>146</v>
      </c>
      <c r="J18" s="3" t="s">
        <v>37</v>
      </c>
      <c r="K18" s="3" t="s">
        <v>27</v>
      </c>
      <c r="L18" s="4">
        <v>253000</v>
      </c>
      <c r="M18" s="3" t="s">
        <v>147</v>
      </c>
      <c r="N18" s="3" t="str">
        <f>IF(COUNTIF($A$2:A18,A18)&gt;1,"Si","No")</f>
        <v>No</v>
      </c>
      <c r="O18" s="3" t="str">
        <f>VLOOKUP(J18,Referencias!$A$2:$B$7,2,FALSE())</f>
        <v>Primera</v>
      </c>
      <c r="P18" s="3" t="str">
        <f t="shared" si="0"/>
        <v>OK</v>
      </c>
      <c r="Q18" s="3" t="str">
        <f t="shared" si="1"/>
        <v>OK</v>
      </c>
    </row>
    <row r="19" spans="1:17" ht="15" customHeight="1" x14ac:dyDescent="0.3">
      <c r="A19" s="3" t="s">
        <v>148</v>
      </c>
      <c r="B19" s="3" t="s">
        <v>149</v>
      </c>
      <c r="C19" s="3" t="s">
        <v>150</v>
      </c>
      <c r="D19" s="3" t="s">
        <v>151</v>
      </c>
      <c r="E19" s="3" t="s">
        <v>152</v>
      </c>
      <c r="F19" s="3" t="s">
        <v>22</v>
      </c>
      <c r="G19" s="3" t="s">
        <v>53</v>
      </c>
      <c r="H19" s="3" t="s">
        <v>45</v>
      </c>
      <c r="I19" s="3" t="s">
        <v>153</v>
      </c>
      <c r="J19" s="3" t="s">
        <v>100</v>
      </c>
      <c r="K19" s="3" t="s">
        <v>27</v>
      </c>
      <c r="L19" s="4">
        <v>95700</v>
      </c>
      <c r="M19" s="3" t="s">
        <v>154</v>
      </c>
      <c r="N19" s="3" t="str">
        <f>IF(COUNTIF($A$2:A19,A19)&gt;1,"Si","No")</f>
        <v>No</v>
      </c>
      <c r="O19" s="3" t="str">
        <f>VLOOKUP(J19,Referencias!$A$2:$B$7,2,FALSE())</f>
        <v>Primera</v>
      </c>
      <c r="P19" s="3" t="str">
        <f t="shared" si="0"/>
        <v>OK</v>
      </c>
      <c r="Q19" s="3" t="str">
        <f t="shared" si="1"/>
        <v>OK</v>
      </c>
    </row>
    <row r="20" spans="1:17" ht="15" customHeight="1" x14ac:dyDescent="0.3">
      <c r="A20" s="3" t="s">
        <v>155</v>
      </c>
      <c r="B20" s="3" t="s">
        <v>156</v>
      </c>
      <c r="C20" s="3" t="s">
        <v>157</v>
      </c>
      <c r="D20" s="3" t="s">
        <v>158</v>
      </c>
      <c r="E20" s="3" t="s">
        <v>159</v>
      </c>
      <c r="F20" s="3" t="s">
        <v>22</v>
      </c>
      <c r="G20" s="3" t="s">
        <v>53</v>
      </c>
      <c r="H20" s="3" t="s">
        <v>35</v>
      </c>
      <c r="I20" s="3" t="s">
        <v>160</v>
      </c>
      <c r="J20" s="3" t="s">
        <v>55</v>
      </c>
      <c r="K20" s="3" t="s">
        <v>27</v>
      </c>
      <c r="L20" s="4">
        <v>60400</v>
      </c>
      <c r="M20" s="3" t="s">
        <v>161</v>
      </c>
      <c r="N20" s="3" t="str">
        <f>IF(COUNTIF($A$2:A20,A20)&gt;1,"Si","No")</f>
        <v>No</v>
      </c>
      <c r="O20" s="3" t="str">
        <f>VLOOKUP(J20,Referencias!$A$2:$B$7,2,FALSE())</f>
        <v>Segunda</v>
      </c>
      <c r="P20" s="3" t="str">
        <f t="shared" si="0"/>
        <v>OK</v>
      </c>
      <c r="Q20" s="3" t="str">
        <f t="shared" si="1"/>
        <v>OK</v>
      </c>
    </row>
    <row r="21" spans="1:17" ht="15" customHeight="1" x14ac:dyDescent="0.3">
      <c r="A21" s="3" t="s">
        <v>162</v>
      </c>
      <c r="B21" s="3" t="s">
        <v>163</v>
      </c>
      <c r="C21" s="3" t="s">
        <v>164</v>
      </c>
      <c r="D21" s="3"/>
      <c r="E21" s="3"/>
      <c r="F21" s="3" t="s">
        <v>34</v>
      </c>
      <c r="G21" s="3" t="s">
        <v>36</v>
      </c>
      <c r="H21" s="3" t="s">
        <v>53</v>
      </c>
      <c r="I21" s="3" t="s">
        <v>165</v>
      </c>
      <c r="J21" s="3" t="s">
        <v>47</v>
      </c>
      <c r="K21" s="3" t="s">
        <v>27</v>
      </c>
      <c r="L21" s="3"/>
      <c r="M21" s="3" t="s">
        <v>140</v>
      </c>
      <c r="N21" s="3" t="str">
        <f>IF(COUNTIF($A$2:A21,A21)&gt;1,"Si","No")</f>
        <v>No</v>
      </c>
      <c r="O21" s="3" t="str">
        <f>VLOOKUP(J21,Referencias!$A$2:$B$7,2,FALSE())</f>
        <v>Primera</v>
      </c>
      <c r="P21" s="3" t="str">
        <f t="shared" si="0"/>
        <v>Faltante</v>
      </c>
      <c r="Q21" s="3" t="str">
        <f t="shared" si="1"/>
        <v>Faltante</v>
      </c>
    </row>
    <row r="22" spans="1:17" ht="15" customHeight="1" x14ac:dyDescent="0.3">
      <c r="A22" s="3" t="s">
        <v>166</v>
      </c>
      <c r="B22" s="3" t="s">
        <v>167</v>
      </c>
      <c r="C22" s="3" t="s">
        <v>168</v>
      </c>
      <c r="D22" s="3"/>
      <c r="E22" s="3" t="s">
        <v>169</v>
      </c>
      <c r="F22" s="3" t="s">
        <v>34</v>
      </c>
      <c r="G22" s="3" t="s">
        <v>45</v>
      </c>
      <c r="H22" s="3" t="s">
        <v>138</v>
      </c>
      <c r="I22" s="3" t="s">
        <v>170</v>
      </c>
      <c r="J22" s="3" t="s">
        <v>47</v>
      </c>
      <c r="K22" s="3" t="s">
        <v>56</v>
      </c>
      <c r="L22" s="4">
        <v>110600</v>
      </c>
      <c r="M22" s="3" t="s">
        <v>171</v>
      </c>
      <c r="N22" s="3" t="str">
        <f>IF(COUNTIF($A$2:A22,A22)&gt;1,"Si","No")</f>
        <v>No</v>
      </c>
      <c r="O22" s="3" t="str">
        <f>VLOOKUP(J22,Referencias!$A$2:$B$7,2,FALSE())</f>
        <v>Primera</v>
      </c>
      <c r="P22" s="3" t="str">
        <f t="shared" si="0"/>
        <v>Faltante</v>
      </c>
      <c r="Q22" s="3" t="str">
        <f t="shared" si="1"/>
        <v>OK</v>
      </c>
    </row>
    <row r="23" spans="1:17" ht="15" customHeight="1" x14ac:dyDescent="0.3">
      <c r="A23" s="3" t="s">
        <v>172</v>
      </c>
      <c r="B23" s="3" t="s">
        <v>173</v>
      </c>
      <c r="C23" s="3" t="s">
        <v>174</v>
      </c>
      <c r="D23" s="3" t="s">
        <v>175</v>
      </c>
      <c r="E23" s="3" t="s">
        <v>176</v>
      </c>
      <c r="F23" s="3" t="s">
        <v>34</v>
      </c>
      <c r="G23" s="3" t="s">
        <v>44</v>
      </c>
      <c r="H23" s="3" t="s">
        <v>84</v>
      </c>
      <c r="I23" s="3" t="s">
        <v>112</v>
      </c>
      <c r="J23" s="3" t="s">
        <v>100</v>
      </c>
      <c r="K23" s="3" t="s">
        <v>27</v>
      </c>
      <c r="L23" s="4">
        <v>111200</v>
      </c>
      <c r="M23" s="3" t="s">
        <v>177</v>
      </c>
      <c r="N23" s="3" t="str">
        <f>IF(COUNTIF($A$2:A23,A23)&gt;1,"Si","No")</f>
        <v>No</v>
      </c>
      <c r="O23" s="3" t="str">
        <f>VLOOKUP(J23,Referencias!$A$2:$B$7,2,FALSE())</f>
        <v>Primera</v>
      </c>
      <c r="P23" s="3" t="str">
        <f t="shared" si="0"/>
        <v>OK</v>
      </c>
      <c r="Q23" s="3" t="str">
        <f t="shared" si="1"/>
        <v>OK</v>
      </c>
    </row>
    <row r="24" spans="1:17" ht="15" customHeight="1" x14ac:dyDescent="0.3">
      <c r="A24" s="3" t="s">
        <v>178</v>
      </c>
      <c r="B24" s="3" t="s">
        <v>179</v>
      </c>
      <c r="C24" s="3" t="s">
        <v>180</v>
      </c>
      <c r="D24" s="3" t="s">
        <v>181</v>
      </c>
      <c r="E24" s="3" t="s">
        <v>182</v>
      </c>
      <c r="F24" s="3" t="s">
        <v>22</v>
      </c>
      <c r="G24" s="3" t="s">
        <v>44</v>
      </c>
      <c r="H24" s="3" t="s">
        <v>45</v>
      </c>
      <c r="I24" s="3" t="s">
        <v>183</v>
      </c>
      <c r="J24" s="3" t="s">
        <v>78</v>
      </c>
      <c r="K24" s="3" t="s">
        <v>27</v>
      </c>
      <c r="L24" s="4">
        <v>145600</v>
      </c>
      <c r="M24" s="3" t="s">
        <v>184</v>
      </c>
      <c r="N24" s="3" t="str">
        <f>IF(COUNTIF($A$2:A24,A24)&gt;1,"Si","No")</f>
        <v>No</v>
      </c>
      <c r="O24" s="3" t="str">
        <f>VLOOKUP(J24,Referencias!$A$2:$B$7,2,FALSE())</f>
        <v>Segunda</v>
      </c>
      <c r="P24" s="3" t="str">
        <f t="shared" si="0"/>
        <v>OK</v>
      </c>
      <c r="Q24" s="3" t="str">
        <f t="shared" si="1"/>
        <v>OK</v>
      </c>
    </row>
    <row r="25" spans="1:17" ht="15" customHeight="1" x14ac:dyDescent="0.3">
      <c r="A25" s="3" t="s">
        <v>185</v>
      </c>
      <c r="B25" s="3" t="s">
        <v>186</v>
      </c>
      <c r="C25" s="3" t="s">
        <v>187</v>
      </c>
      <c r="D25" s="3" t="s">
        <v>188</v>
      </c>
      <c r="E25" s="3" t="s">
        <v>189</v>
      </c>
      <c r="F25" s="3" t="s">
        <v>34</v>
      </c>
      <c r="G25" s="3" t="s">
        <v>35</v>
      </c>
      <c r="H25" s="3" t="s">
        <v>23</v>
      </c>
      <c r="I25" s="3" t="s">
        <v>190</v>
      </c>
      <c r="J25" s="3" t="s">
        <v>47</v>
      </c>
      <c r="K25" s="3" t="s">
        <v>27</v>
      </c>
      <c r="L25" s="4">
        <v>87800</v>
      </c>
      <c r="M25" s="3" t="s">
        <v>57</v>
      </c>
      <c r="N25" s="3" t="str">
        <f>IF(COUNTIF($A$2:A25,A25)&gt;1,"Si","No")</f>
        <v>No</v>
      </c>
      <c r="O25" s="3" t="str">
        <f>VLOOKUP(J25,Referencias!$A$2:$B$7,2,FALSE())</f>
        <v>Primera</v>
      </c>
      <c r="P25" s="3" t="str">
        <f t="shared" si="0"/>
        <v>OK</v>
      </c>
      <c r="Q25" s="3" t="str">
        <f t="shared" si="1"/>
        <v>OK</v>
      </c>
    </row>
    <row r="26" spans="1:17" ht="15" customHeight="1" x14ac:dyDescent="0.3">
      <c r="A26" s="3" t="s">
        <v>191</v>
      </c>
      <c r="B26" s="3" t="s">
        <v>192</v>
      </c>
      <c r="C26" s="3" t="s">
        <v>193</v>
      </c>
      <c r="D26" s="3" t="s">
        <v>194</v>
      </c>
      <c r="E26" s="3" t="s">
        <v>195</v>
      </c>
      <c r="F26" s="3" t="s">
        <v>22</v>
      </c>
      <c r="G26" s="3" t="s">
        <v>44</v>
      </c>
      <c r="H26" s="3" t="s">
        <v>84</v>
      </c>
      <c r="I26" s="3" t="s">
        <v>196</v>
      </c>
      <c r="J26" s="3" t="s">
        <v>100</v>
      </c>
      <c r="K26" s="3" t="s">
        <v>56</v>
      </c>
      <c r="L26" s="4">
        <v>259100</v>
      </c>
      <c r="M26" s="3" t="s">
        <v>197</v>
      </c>
      <c r="N26" s="3" t="str">
        <f>IF(COUNTIF($A$2:A26,A26)&gt;1,"Si","No")</f>
        <v>No</v>
      </c>
      <c r="O26" s="3" t="str">
        <f>VLOOKUP(J26,Referencias!$A$2:$B$7,2,FALSE())</f>
        <v>Primera</v>
      </c>
      <c r="P26" s="3" t="str">
        <f t="shared" si="0"/>
        <v>OK</v>
      </c>
      <c r="Q26" s="3" t="str">
        <f t="shared" si="1"/>
        <v>OK</v>
      </c>
    </row>
    <row r="27" spans="1:17" ht="15" customHeight="1" x14ac:dyDescent="0.3">
      <c r="A27" s="3" t="s">
        <v>198</v>
      </c>
      <c r="B27" s="3" t="s">
        <v>199</v>
      </c>
      <c r="C27" s="3" t="s">
        <v>200</v>
      </c>
      <c r="D27" s="3" t="s">
        <v>201</v>
      </c>
      <c r="E27" s="3" t="s">
        <v>202</v>
      </c>
      <c r="F27" s="3" t="s">
        <v>34</v>
      </c>
      <c r="G27" s="3" t="s">
        <v>23</v>
      </c>
      <c r="H27" s="3" t="s">
        <v>44</v>
      </c>
      <c r="I27" s="3" t="s">
        <v>203</v>
      </c>
      <c r="J27" s="3" t="s">
        <v>100</v>
      </c>
      <c r="K27" s="3" t="s">
        <v>70</v>
      </c>
      <c r="L27" s="4">
        <v>70400</v>
      </c>
      <c r="M27" s="3" t="s">
        <v>204</v>
      </c>
      <c r="N27" s="3" t="str">
        <f>IF(COUNTIF($A$2:A27,A27)&gt;1,"Si","No")</f>
        <v>No</v>
      </c>
      <c r="O27" s="3" t="str">
        <f>VLOOKUP(J27,Referencias!$A$2:$B$7,2,FALSE())</f>
        <v>Primera</v>
      </c>
      <c r="P27" s="3" t="str">
        <f t="shared" si="0"/>
        <v>OK</v>
      </c>
      <c r="Q27" s="3" t="str">
        <f t="shared" si="1"/>
        <v>OK</v>
      </c>
    </row>
    <row r="28" spans="1:17" ht="15" customHeight="1" x14ac:dyDescent="0.3">
      <c r="A28" s="3" t="s">
        <v>205</v>
      </c>
      <c r="B28" s="3" t="s">
        <v>114</v>
      </c>
      <c r="C28" s="3" t="s">
        <v>206</v>
      </c>
      <c r="D28" s="3" t="s">
        <v>207</v>
      </c>
      <c r="E28" s="3" t="s">
        <v>208</v>
      </c>
      <c r="F28" s="3" t="s">
        <v>22</v>
      </c>
      <c r="G28" s="3" t="s">
        <v>36</v>
      </c>
      <c r="H28" s="3" t="s">
        <v>44</v>
      </c>
      <c r="I28" s="3" t="s">
        <v>209</v>
      </c>
      <c r="J28" s="3" t="s">
        <v>26</v>
      </c>
      <c r="K28" s="3" t="s">
        <v>56</v>
      </c>
      <c r="L28" s="4">
        <v>120100</v>
      </c>
      <c r="M28" s="3" t="s">
        <v>170</v>
      </c>
      <c r="N28" s="3" t="str">
        <f>IF(COUNTIF($A$2:A28,A28)&gt;1,"Si","No")</f>
        <v>No</v>
      </c>
      <c r="O28" s="3" t="str">
        <f>VLOOKUP(J28,Referencias!$A$2:$B$7,2,FALSE())</f>
        <v>Segunda</v>
      </c>
      <c r="P28" s="3" t="str">
        <f t="shared" si="0"/>
        <v>OK</v>
      </c>
      <c r="Q28" s="3" t="str">
        <f t="shared" si="1"/>
        <v>OK</v>
      </c>
    </row>
    <row r="29" spans="1:17" ht="15" customHeight="1" x14ac:dyDescent="0.3">
      <c r="A29" s="3" t="s">
        <v>210</v>
      </c>
      <c r="B29" s="3" t="s">
        <v>211</v>
      </c>
      <c r="C29" s="3" t="s">
        <v>212</v>
      </c>
      <c r="D29" s="3"/>
      <c r="E29" s="3" t="s">
        <v>213</v>
      </c>
      <c r="F29" s="3" t="s">
        <v>22</v>
      </c>
      <c r="G29" s="3" t="s">
        <v>138</v>
      </c>
      <c r="H29" s="3" t="s">
        <v>36</v>
      </c>
      <c r="I29" s="3" t="s">
        <v>214</v>
      </c>
      <c r="J29" s="3" t="s">
        <v>78</v>
      </c>
      <c r="K29" s="3" t="s">
        <v>27</v>
      </c>
      <c r="L29" s="4">
        <v>310700</v>
      </c>
      <c r="M29" s="3" t="s">
        <v>215</v>
      </c>
      <c r="N29" s="3" t="str">
        <f>IF(COUNTIF($A$2:A29,A29)&gt;1,"Si","No")</f>
        <v>No</v>
      </c>
      <c r="O29" s="3" t="str">
        <f>VLOOKUP(J29,Referencias!$A$2:$B$7,2,FALSE())</f>
        <v>Segunda</v>
      </c>
      <c r="P29" s="3" t="str">
        <f t="shared" si="0"/>
        <v>Faltante</v>
      </c>
      <c r="Q29" s="3" t="str">
        <f t="shared" si="1"/>
        <v>OK</v>
      </c>
    </row>
    <row r="30" spans="1:17" ht="15" customHeight="1" x14ac:dyDescent="0.3">
      <c r="A30" s="3" t="s">
        <v>216</v>
      </c>
      <c r="B30" s="3" t="s">
        <v>217</v>
      </c>
      <c r="C30" s="3" t="s">
        <v>104</v>
      </c>
      <c r="D30" s="3" t="s">
        <v>218</v>
      </c>
      <c r="E30" s="3" t="s">
        <v>219</v>
      </c>
      <c r="F30" s="3" t="s">
        <v>22</v>
      </c>
      <c r="G30" s="3" t="s">
        <v>53</v>
      </c>
      <c r="H30" s="3" t="s">
        <v>91</v>
      </c>
      <c r="I30" s="3" t="s">
        <v>220</v>
      </c>
      <c r="J30" s="3" t="s">
        <v>55</v>
      </c>
      <c r="K30" s="3" t="s">
        <v>27</v>
      </c>
      <c r="L30" s="4">
        <v>311000</v>
      </c>
      <c r="M30" s="3" t="s">
        <v>221</v>
      </c>
      <c r="N30" s="3" t="str">
        <f>IF(COUNTIF($A$2:A30,A30)&gt;1,"Si","No")</f>
        <v>No</v>
      </c>
      <c r="O30" s="3" t="str">
        <f>VLOOKUP(J30,Referencias!$A$2:$B$7,2,FALSE())</f>
        <v>Segunda</v>
      </c>
      <c r="P30" s="3" t="str">
        <f t="shared" si="0"/>
        <v>OK</v>
      </c>
      <c r="Q30" s="3" t="str">
        <f t="shared" si="1"/>
        <v>OK</v>
      </c>
    </row>
    <row r="31" spans="1:17" ht="15" customHeight="1" x14ac:dyDescent="0.3">
      <c r="A31" s="3" t="s">
        <v>222</v>
      </c>
      <c r="B31" s="3" t="s">
        <v>223</v>
      </c>
      <c r="C31" s="3" t="s">
        <v>224</v>
      </c>
      <c r="D31" s="3" t="s">
        <v>225</v>
      </c>
      <c r="E31" s="3" t="s">
        <v>226</v>
      </c>
      <c r="F31" s="3" t="s">
        <v>22</v>
      </c>
      <c r="G31" s="3" t="s">
        <v>35</v>
      </c>
      <c r="H31" s="3" t="s">
        <v>23</v>
      </c>
      <c r="I31" s="3" t="s">
        <v>69</v>
      </c>
      <c r="J31" s="3" t="s">
        <v>78</v>
      </c>
      <c r="K31" s="3" t="s">
        <v>56</v>
      </c>
      <c r="L31" s="4">
        <v>170100</v>
      </c>
      <c r="M31" s="3" t="s">
        <v>227</v>
      </c>
      <c r="N31" s="3" t="str">
        <f>IF(COUNTIF($A$2:A31,A31)&gt;1,"Si","No")</f>
        <v>No</v>
      </c>
      <c r="O31" s="3" t="str">
        <f>VLOOKUP(J31,Referencias!$A$2:$B$7,2,FALSE())</f>
        <v>Segunda</v>
      </c>
      <c r="P31" s="3" t="str">
        <f t="shared" si="0"/>
        <v>OK</v>
      </c>
      <c r="Q31" s="3" t="str">
        <f t="shared" si="1"/>
        <v>OK</v>
      </c>
    </row>
    <row r="32" spans="1:17" ht="15" customHeight="1" x14ac:dyDescent="0.3">
      <c r="A32" s="3" t="s">
        <v>228</v>
      </c>
      <c r="B32" s="3" t="s">
        <v>173</v>
      </c>
      <c r="C32" s="3" t="s">
        <v>229</v>
      </c>
      <c r="D32" s="3" t="s">
        <v>230</v>
      </c>
      <c r="E32" s="3"/>
      <c r="F32" s="3" t="s">
        <v>22</v>
      </c>
      <c r="G32" s="3" t="s">
        <v>45</v>
      </c>
      <c r="H32" s="3" t="s">
        <v>23</v>
      </c>
      <c r="I32" s="3" t="s">
        <v>231</v>
      </c>
      <c r="J32" s="3" t="s">
        <v>37</v>
      </c>
      <c r="K32" s="3" t="s">
        <v>56</v>
      </c>
      <c r="L32" s="4">
        <v>131800</v>
      </c>
      <c r="M32" s="3" t="s">
        <v>232</v>
      </c>
      <c r="N32" s="3" t="str">
        <f>IF(COUNTIF($A$2:A32,A32)&gt;1,"Si","No")</f>
        <v>No</v>
      </c>
      <c r="O32" s="3" t="str">
        <f>VLOOKUP(J32,Referencias!$A$2:$B$7,2,FALSE())</f>
        <v>Primera</v>
      </c>
      <c r="P32" s="3" t="str">
        <f t="shared" si="0"/>
        <v>OK</v>
      </c>
      <c r="Q32" s="3" t="str">
        <f t="shared" si="1"/>
        <v>OK</v>
      </c>
    </row>
    <row r="33" spans="1:17" ht="15" customHeight="1" x14ac:dyDescent="0.3">
      <c r="A33" s="3" t="s">
        <v>233</v>
      </c>
      <c r="B33" s="3" t="s">
        <v>234</v>
      </c>
      <c r="C33" s="3" t="s">
        <v>235</v>
      </c>
      <c r="D33" s="3" t="s">
        <v>236</v>
      </c>
      <c r="E33" s="3" t="s">
        <v>237</v>
      </c>
      <c r="F33" s="3" t="s">
        <v>34</v>
      </c>
      <c r="G33" s="3" t="s">
        <v>44</v>
      </c>
      <c r="H33" s="3" t="s">
        <v>23</v>
      </c>
      <c r="I33" s="3" t="s">
        <v>238</v>
      </c>
      <c r="J33" s="3" t="s">
        <v>100</v>
      </c>
      <c r="K33" s="3" t="s">
        <v>27</v>
      </c>
      <c r="L33" s="4">
        <v>169800</v>
      </c>
      <c r="M33" s="3" t="s">
        <v>239</v>
      </c>
      <c r="N33" s="3" t="str">
        <f>IF(COUNTIF($A$2:A33,A33)&gt;1,"Si","No")</f>
        <v>No</v>
      </c>
      <c r="O33" s="3" t="str">
        <f>VLOOKUP(J33,Referencias!$A$2:$B$7,2,FALSE())</f>
        <v>Primera</v>
      </c>
      <c r="P33" s="3" t="str">
        <f t="shared" si="0"/>
        <v>OK</v>
      </c>
      <c r="Q33" s="3" t="str">
        <f t="shared" si="1"/>
        <v>OK</v>
      </c>
    </row>
    <row r="34" spans="1:17" ht="15" customHeight="1" x14ac:dyDescent="0.3">
      <c r="A34" s="3" t="s">
        <v>80</v>
      </c>
      <c r="B34" s="3" t="s">
        <v>65</v>
      </c>
      <c r="C34" s="3" t="s">
        <v>81</v>
      </c>
      <c r="D34" s="3" t="s">
        <v>82</v>
      </c>
      <c r="E34" s="3" t="s">
        <v>83</v>
      </c>
      <c r="F34" s="3" t="s">
        <v>34</v>
      </c>
      <c r="G34" s="3" t="s">
        <v>44</v>
      </c>
      <c r="H34" s="3" t="s">
        <v>84</v>
      </c>
      <c r="I34" s="3" t="s">
        <v>48</v>
      </c>
      <c r="J34" s="3" t="s">
        <v>78</v>
      </c>
      <c r="K34" s="3" t="s">
        <v>27</v>
      </c>
      <c r="L34" s="4">
        <v>221000</v>
      </c>
      <c r="M34" s="3" t="s">
        <v>85</v>
      </c>
      <c r="N34" s="3" t="str">
        <f>IF(COUNTIF($A$2:A34,A34)&gt;1,"Si","No")</f>
        <v>Si</v>
      </c>
      <c r="O34" s="3" t="str">
        <f>VLOOKUP(J34,Referencias!$A$2:$B$7,2,FALSE())</f>
        <v>Segunda</v>
      </c>
      <c r="P34" s="3" t="str">
        <f t="shared" ref="P34:P65" si="2">IF(D34="","Faltante","OK")</f>
        <v>OK</v>
      </c>
      <c r="Q34" s="3" t="str">
        <f t="shared" ref="Q34:Q65" si="3">IF(L34="","Faltante","OK")</f>
        <v>OK</v>
      </c>
    </row>
    <row r="35" spans="1:17" ht="15" customHeight="1" x14ac:dyDescent="0.3">
      <c r="A35" s="3" t="s">
        <v>240</v>
      </c>
      <c r="B35" s="3" t="s">
        <v>163</v>
      </c>
      <c r="C35" s="3" t="s">
        <v>241</v>
      </c>
      <c r="D35" s="3" t="s">
        <v>242</v>
      </c>
      <c r="E35" s="3" t="s">
        <v>243</v>
      </c>
      <c r="F35" s="3" t="s">
        <v>34</v>
      </c>
      <c r="G35" s="3" t="s">
        <v>24</v>
      </c>
      <c r="H35" s="3" t="s">
        <v>138</v>
      </c>
      <c r="I35" s="3" t="s">
        <v>62</v>
      </c>
      <c r="J35" s="3" t="s">
        <v>37</v>
      </c>
      <c r="K35" s="3" t="s">
        <v>70</v>
      </c>
      <c r="L35" s="4">
        <v>264100</v>
      </c>
      <c r="M35" s="3" t="s">
        <v>244</v>
      </c>
      <c r="N35" s="3" t="str">
        <f>IF(COUNTIF($A$2:A35,A35)&gt;1,"Si","No")</f>
        <v>No</v>
      </c>
      <c r="O35" s="3" t="str">
        <f>VLOOKUP(J35,Referencias!$A$2:$B$7,2,FALSE())</f>
        <v>Primera</v>
      </c>
      <c r="P35" s="3" t="str">
        <f t="shared" si="2"/>
        <v>OK</v>
      </c>
      <c r="Q35" s="3" t="str">
        <f t="shared" si="3"/>
        <v>OK</v>
      </c>
    </row>
    <row r="36" spans="1:17" ht="15" customHeight="1" x14ac:dyDescent="0.3">
      <c r="A36" s="3" t="s">
        <v>245</v>
      </c>
      <c r="B36" s="3" t="s">
        <v>246</v>
      </c>
      <c r="C36" s="3" t="s">
        <v>247</v>
      </c>
      <c r="D36" s="3" t="s">
        <v>248</v>
      </c>
      <c r="E36" s="3" t="s">
        <v>249</v>
      </c>
      <c r="F36" s="3" t="s">
        <v>34</v>
      </c>
      <c r="G36" s="3" t="s">
        <v>23</v>
      </c>
      <c r="H36" s="3" t="s">
        <v>44</v>
      </c>
      <c r="I36" s="3" t="s">
        <v>250</v>
      </c>
      <c r="J36" s="3" t="s">
        <v>78</v>
      </c>
      <c r="K36" s="3" t="s">
        <v>70</v>
      </c>
      <c r="L36" s="4">
        <v>252700</v>
      </c>
      <c r="M36" s="3" t="s">
        <v>251</v>
      </c>
      <c r="N36" s="3" t="str">
        <f>IF(COUNTIF($A$2:A36,A36)&gt;1,"Si","No")</f>
        <v>No</v>
      </c>
      <c r="O36" s="3" t="str">
        <f>VLOOKUP(J36,Referencias!$A$2:$B$7,2,FALSE())</f>
        <v>Segunda</v>
      </c>
      <c r="P36" s="3" t="str">
        <f t="shared" si="2"/>
        <v>OK</v>
      </c>
      <c r="Q36" s="3" t="str">
        <f t="shared" si="3"/>
        <v>OK</v>
      </c>
    </row>
    <row r="37" spans="1:17" ht="15" customHeight="1" x14ac:dyDescent="0.3">
      <c r="A37" s="3" t="s">
        <v>252</v>
      </c>
      <c r="B37" s="3" t="s">
        <v>18</v>
      </c>
      <c r="C37" s="3" t="s">
        <v>253</v>
      </c>
      <c r="D37" s="3" t="s">
        <v>254</v>
      </c>
      <c r="E37" s="3" t="s">
        <v>255</v>
      </c>
      <c r="F37" s="3" t="s">
        <v>22</v>
      </c>
      <c r="G37" s="3" t="s">
        <v>45</v>
      </c>
      <c r="H37" s="3" t="s">
        <v>35</v>
      </c>
      <c r="I37" s="3" t="s">
        <v>256</v>
      </c>
      <c r="J37" s="3" t="s">
        <v>37</v>
      </c>
      <c r="K37" s="3" t="s">
        <v>70</v>
      </c>
      <c r="L37" s="4">
        <v>196800</v>
      </c>
      <c r="M37" s="3" t="s">
        <v>257</v>
      </c>
      <c r="N37" s="3" t="str">
        <f>IF(COUNTIF($A$2:A37,A37)&gt;1,"Si","No")</f>
        <v>No</v>
      </c>
      <c r="O37" s="3" t="str">
        <f>VLOOKUP(J37,Referencias!$A$2:$B$7,2,FALSE())</f>
        <v>Primera</v>
      </c>
      <c r="P37" s="3" t="str">
        <f t="shared" si="2"/>
        <v>OK</v>
      </c>
      <c r="Q37" s="3" t="str">
        <f t="shared" si="3"/>
        <v>OK</v>
      </c>
    </row>
    <row r="38" spans="1:17" ht="15" customHeight="1" x14ac:dyDescent="0.3">
      <c r="A38" s="3" t="s">
        <v>258</v>
      </c>
      <c r="B38" s="3" t="s">
        <v>259</v>
      </c>
      <c r="C38" s="3" t="s">
        <v>260</v>
      </c>
      <c r="D38" s="3" t="s">
        <v>261</v>
      </c>
      <c r="E38" s="3" t="s">
        <v>262</v>
      </c>
      <c r="F38" s="3" t="s">
        <v>22</v>
      </c>
      <c r="G38" s="3" t="s">
        <v>23</v>
      </c>
      <c r="H38" s="3" t="s">
        <v>45</v>
      </c>
      <c r="I38" s="3" t="s">
        <v>221</v>
      </c>
      <c r="J38" s="3" t="s">
        <v>55</v>
      </c>
      <c r="K38" s="3" t="s">
        <v>56</v>
      </c>
      <c r="L38" s="4">
        <v>295400</v>
      </c>
      <c r="M38" s="3" t="s">
        <v>263</v>
      </c>
      <c r="N38" s="3" t="str">
        <f>IF(COUNTIF($A$2:A38,A38)&gt;1,"Si","No")</f>
        <v>No</v>
      </c>
      <c r="O38" s="3" t="str">
        <f>VLOOKUP(J38,Referencias!$A$2:$B$7,2,FALSE())</f>
        <v>Segunda</v>
      </c>
      <c r="P38" s="3" t="str">
        <f t="shared" si="2"/>
        <v>OK</v>
      </c>
      <c r="Q38" s="3" t="str">
        <f t="shared" si="3"/>
        <v>OK</v>
      </c>
    </row>
    <row r="39" spans="1:17" ht="15" customHeight="1" x14ac:dyDescent="0.3">
      <c r="A39" s="3" t="s">
        <v>264</v>
      </c>
      <c r="B39" s="3" t="s">
        <v>259</v>
      </c>
      <c r="C39" s="3" t="s">
        <v>265</v>
      </c>
      <c r="D39" s="3" t="s">
        <v>266</v>
      </c>
      <c r="E39" s="3" t="s">
        <v>267</v>
      </c>
      <c r="F39" s="3" t="s">
        <v>34</v>
      </c>
      <c r="G39" s="3" t="s">
        <v>53</v>
      </c>
      <c r="H39" s="3" t="s">
        <v>138</v>
      </c>
      <c r="I39" s="3" t="s">
        <v>268</v>
      </c>
      <c r="J39" s="3" t="s">
        <v>78</v>
      </c>
      <c r="K39" s="3" t="s">
        <v>27</v>
      </c>
      <c r="L39" s="4">
        <v>282600</v>
      </c>
      <c r="M39" s="3" t="s">
        <v>154</v>
      </c>
      <c r="N39" s="3" t="str">
        <f>IF(COUNTIF($A$2:A39,A39)&gt;1,"Si","No")</f>
        <v>No</v>
      </c>
      <c r="O39" s="3" t="str">
        <f>VLOOKUP(J39,Referencias!$A$2:$B$7,2,FALSE())</f>
        <v>Segunda</v>
      </c>
      <c r="P39" s="3" t="str">
        <f t="shared" si="2"/>
        <v>OK</v>
      </c>
      <c r="Q39" s="3" t="str">
        <f t="shared" si="3"/>
        <v>OK</v>
      </c>
    </row>
    <row r="40" spans="1:17" ht="15" customHeight="1" x14ac:dyDescent="0.3">
      <c r="A40" s="3" t="s">
        <v>269</v>
      </c>
      <c r="B40" s="3" t="s">
        <v>270</v>
      </c>
      <c r="C40" s="3" t="s">
        <v>271</v>
      </c>
      <c r="D40" s="3"/>
      <c r="E40" s="3" t="s">
        <v>272</v>
      </c>
      <c r="F40" s="3" t="s">
        <v>22</v>
      </c>
      <c r="G40" s="3" t="s">
        <v>35</v>
      </c>
      <c r="H40" s="3" t="s">
        <v>36</v>
      </c>
      <c r="I40" s="3" t="s">
        <v>184</v>
      </c>
      <c r="J40" s="3" t="s">
        <v>55</v>
      </c>
      <c r="K40" s="3" t="s">
        <v>27</v>
      </c>
      <c r="L40" s="4">
        <v>244900</v>
      </c>
      <c r="M40" s="3" t="s">
        <v>62</v>
      </c>
      <c r="N40" s="3" t="str">
        <f>IF(COUNTIF($A$2:A40,A40)&gt;1,"Si","No")</f>
        <v>No</v>
      </c>
      <c r="O40" s="3" t="str">
        <f>VLOOKUP(J40,Referencias!$A$2:$B$7,2,FALSE())</f>
        <v>Segunda</v>
      </c>
      <c r="P40" s="3" t="str">
        <f t="shared" si="2"/>
        <v>Faltante</v>
      </c>
      <c r="Q40" s="3" t="str">
        <f t="shared" si="3"/>
        <v>OK</v>
      </c>
    </row>
    <row r="41" spans="1:17" ht="15" customHeight="1" x14ac:dyDescent="0.3">
      <c r="A41" s="3" t="s">
        <v>273</v>
      </c>
      <c r="B41" s="3" t="s">
        <v>274</v>
      </c>
      <c r="C41" s="3" t="s">
        <v>275</v>
      </c>
      <c r="D41" s="3" t="s">
        <v>276</v>
      </c>
      <c r="E41" s="3" t="s">
        <v>277</v>
      </c>
      <c r="F41" s="3" t="s">
        <v>22</v>
      </c>
      <c r="G41" s="3" t="s">
        <v>45</v>
      </c>
      <c r="H41" s="3" t="s">
        <v>53</v>
      </c>
      <c r="I41" s="3" t="s">
        <v>278</v>
      </c>
      <c r="J41" s="3" t="s">
        <v>26</v>
      </c>
      <c r="K41" s="3" t="s">
        <v>27</v>
      </c>
      <c r="L41" s="4">
        <v>205400</v>
      </c>
      <c r="M41" s="3" t="s">
        <v>279</v>
      </c>
      <c r="N41" s="3" t="str">
        <f>IF(COUNTIF($A$2:A41,A41)&gt;1,"Si","No")</f>
        <v>No</v>
      </c>
      <c r="O41" s="3" t="str">
        <f>VLOOKUP(J41,Referencias!$A$2:$B$7,2,FALSE())</f>
        <v>Segunda</v>
      </c>
      <c r="P41" s="3" t="str">
        <f t="shared" si="2"/>
        <v>OK</v>
      </c>
      <c r="Q41" s="3" t="str">
        <f t="shared" si="3"/>
        <v>OK</v>
      </c>
    </row>
    <row r="42" spans="1:17" ht="15" customHeight="1" x14ac:dyDescent="0.3">
      <c r="A42" s="3" t="s">
        <v>280</v>
      </c>
      <c r="B42" s="3" t="s">
        <v>281</v>
      </c>
      <c r="C42" s="3" t="s">
        <v>157</v>
      </c>
      <c r="D42" s="3" t="s">
        <v>282</v>
      </c>
      <c r="E42" s="3" t="s">
        <v>283</v>
      </c>
      <c r="F42" s="3" t="s">
        <v>34</v>
      </c>
      <c r="G42" s="3" t="s">
        <v>23</v>
      </c>
      <c r="H42" s="3" t="s">
        <v>53</v>
      </c>
      <c r="I42" s="3" t="s">
        <v>284</v>
      </c>
      <c r="J42" s="3" t="s">
        <v>37</v>
      </c>
      <c r="K42" s="3" t="s">
        <v>27</v>
      </c>
      <c r="L42" s="4">
        <v>274400</v>
      </c>
      <c r="M42" s="3" t="s">
        <v>285</v>
      </c>
      <c r="N42" s="3" t="str">
        <f>IF(COUNTIF($A$2:A42,A42)&gt;1,"Si","No")</f>
        <v>No</v>
      </c>
      <c r="O42" s="3" t="str">
        <f>VLOOKUP(J42,Referencias!$A$2:$B$7,2,FALSE())</f>
        <v>Primera</v>
      </c>
      <c r="P42" s="3" t="str">
        <f t="shared" si="2"/>
        <v>OK</v>
      </c>
      <c r="Q42" s="3" t="str">
        <f t="shared" si="3"/>
        <v>OK</v>
      </c>
    </row>
    <row r="43" spans="1:17" ht="15" customHeight="1" x14ac:dyDescent="0.3">
      <c r="A43" s="3" t="s">
        <v>286</v>
      </c>
      <c r="B43" s="3" t="s">
        <v>287</v>
      </c>
      <c r="C43" s="3" t="s">
        <v>288</v>
      </c>
      <c r="D43" s="3" t="s">
        <v>289</v>
      </c>
      <c r="E43" s="3" t="s">
        <v>290</v>
      </c>
      <c r="F43" s="3" t="s">
        <v>22</v>
      </c>
      <c r="G43" s="3" t="s">
        <v>84</v>
      </c>
      <c r="H43" s="3" t="s">
        <v>53</v>
      </c>
      <c r="I43" s="3" t="s">
        <v>25</v>
      </c>
      <c r="J43" s="3" t="s">
        <v>78</v>
      </c>
      <c r="K43" s="3" t="s">
        <v>27</v>
      </c>
      <c r="L43" s="4">
        <v>212800</v>
      </c>
      <c r="M43" s="3" t="s">
        <v>112</v>
      </c>
      <c r="N43" s="3" t="str">
        <f>IF(COUNTIF($A$2:A43,A43)&gt;1,"Si","No")</f>
        <v>No</v>
      </c>
      <c r="O43" s="3" t="str">
        <f>VLOOKUP(J43,Referencias!$A$2:$B$7,2,FALSE())</f>
        <v>Segunda</v>
      </c>
      <c r="P43" s="3" t="str">
        <f t="shared" si="2"/>
        <v>OK</v>
      </c>
      <c r="Q43" s="3" t="str">
        <f t="shared" si="3"/>
        <v>OK</v>
      </c>
    </row>
    <row r="44" spans="1:17" ht="15" customHeight="1" x14ac:dyDescent="0.3">
      <c r="A44" s="3" t="s">
        <v>291</v>
      </c>
      <c r="B44" s="3" t="s">
        <v>223</v>
      </c>
      <c r="C44" s="3" t="s">
        <v>292</v>
      </c>
      <c r="D44" s="3" t="s">
        <v>293</v>
      </c>
      <c r="E44" s="3" t="s">
        <v>294</v>
      </c>
      <c r="F44" s="3" t="s">
        <v>22</v>
      </c>
      <c r="G44" s="3" t="s">
        <v>35</v>
      </c>
      <c r="H44" s="3" t="s">
        <v>84</v>
      </c>
      <c r="I44" s="3" t="s">
        <v>139</v>
      </c>
      <c r="J44" s="3" t="s">
        <v>78</v>
      </c>
      <c r="K44" s="3" t="s">
        <v>27</v>
      </c>
      <c r="L44" s="4">
        <v>61500</v>
      </c>
      <c r="M44" s="3" t="s">
        <v>231</v>
      </c>
      <c r="N44" s="3" t="str">
        <f>IF(COUNTIF($A$2:A44,A44)&gt;1,"Si","No")</f>
        <v>No</v>
      </c>
      <c r="O44" s="3" t="str">
        <f>VLOOKUP(J44,Referencias!$A$2:$B$7,2,FALSE())</f>
        <v>Segunda</v>
      </c>
      <c r="P44" s="3" t="str">
        <f t="shared" si="2"/>
        <v>OK</v>
      </c>
      <c r="Q44" s="3" t="str">
        <f t="shared" si="3"/>
        <v>OK</v>
      </c>
    </row>
    <row r="45" spans="1:17" ht="15" customHeight="1" x14ac:dyDescent="0.3">
      <c r="A45" s="3" t="s">
        <v>295</v>
      </c>
      <c r="B45" s="3" t="s">
        <v>223</v>
      </c>
      <c r="C45" s="3" t="s">
        <v>296</v>
      </c>
      <c r="D45" s="3" t="s">
        <v>297</v>
      </c>
      <c r="E45" s="3" t="s">
        <v>298</v>
      </c>
      <c r="F45" s="3" t="s">
        <v>22</v>
      </c>
      <c r="G45" s="3" t="s">
        <v>84</v>
      </c>
      <c r="H45" s="3" t="s">
        <v>23</v>
      </c>
      <c r="I45" s="3" t="s">
        <v>299</v>
      </c>
      <c r="J45" s="3" t="s">
        <v>47</v>
      </c>
      <c r="K45" s="3" t="s">
        <v>27</v>
      </c>
      <c r="L45" s="4">
        <v>131900</v>
      </c>
      <c r="M45" s="3" t="s">
        <v>300</v>
      </c>
      <c r="N45" s="3" t="str">
        <f>IF(COUNTIF($A$2:A45,A45)&gt;1,"Si","No")</f>
        <v>No</v>
      </c>
      <c r="O45" s="3" t="str">
        <f>VLOOKUP(J45,Referencias!$A$2:$B$7,2,FALSE())</f>
        <v>Primera</v>
      </c>
      <c r="P45" s="3" t="str">
        <f t="shared" si="2"/>
        <v>OK</v>
      </c>
      <c r="Q45" s="3" t="str">
        <f t="shared" si="3"/>
        <v>OK</v>
      </c>
    </row>
    <row r="46" spans="1:17" ht="15" customHeight="1" x14ac:dyDescent="0.3">
      <c r="A46" s="3" t="s">
        <v>301</v>
      </c>
      <c r="B46" s="3" t="s">
        <v>302</v>
      </c>
      <c r="C46" s="3" t="s">
        <v>303</v>
      </c>
      <c r="D46" s="3"/>
      <c r="E46" s="3" t="s">
        <v>304</v>
      </c>
      <c r="F46" s="3" t="s">
        <v>22</v>
      </c>
      <c r="G46" s="3" t="s">
        <v>36</v>
      </c>
      <c r="H46" s="3" t="s">
        <v>44</v>
      </c>
      <c r="I46" s="3" t="s">
        <v>305</v>
      </c>
      <c r="J46" s="3" t="s">
        <v>78</v>
      </c>
      <c r="K46" s="3" t="s">
        <v>27</v>
      </c>
      <c r="L46" s="4">
        <v>263100</v>
      </c>
      <c r="M46" s="3" t="s">
        <v>306</v>
      </c>
      <c r="N46" s="3" t="str">
        <f>IF(COUNTIF($A$2:A46,A46)&gt;1,"Si","No")</f>
        <v>No</v>
      </c>
      <c r="O46" s="3" t="str">
        <f>VLOOKUP(J46,Referencias!$A$2:$B$7,2,FALSE())</f>
        <v>Segunda</v>
      </c>
      <c r="P46" s="3" t="str">
        <f t="shared" si="2"/>
        <v>Faltante</v>
      </c>
      <c r="Q46" s="3" t="str">
        <f t="shared" si="3"/>
        <v>OK</v>
      </c>
    </row>
    <row r="47" spans="1:17" ht="15" customHeight="1" x14ac:dyDescent="0.3">
      <c r="A47" s="3" t="s">
        <v>307</v>
      </c>
      <c r="B47" s="3" t="s">
        <v>308</v>
      </c>
      <c r="C47" s="3" t="s">
        <v>309</v>
      </c>
      <c r="D47" s="3" t="s">
        <v>310</v>
      </c>
      <c r="E47" s="3" t="s">
        <v>311</v>
      </c>
      <c r="F47" s="3" t="s">
        <v>22</v>
      </c>
      <c r="G47" s="3" t="s">
        <v>53</v>
      </c>
      <c r="H47" s="3" t="s">
        <v>84</v>
      </c>
      <c r="I47" s="3" t="s">
        <v>220</v>
      </c>
      <c r="J47" s="3" t="s">
        <v>37</v>
      </c>
      <c r="K47" s="3" t="s">
        <v>27</v>
      </c>
      <c r="L47" s="4">
        <v>108300</v>
      </c>
      <c r="M47" s="3" t="s">
        <v>312</v>
      </c>
      <c r="N47" s="3" t="str">
        <f>IF(COUNTIF($A$2:A47,A47)&gt;1,"Si","No")</f>
        <v>No</v>
      </c>
      <c r="O47" s="3" t="str">
        <f>VLOOKUP(J47,Referencias!$A$2:$B$7,2,FALSE())</f>
        <v>Primera</v>
      </c>
      <c r="P47" s="3" t="str">
        <f t="shared" si="2"/>
        <v>OK</v>
      </c>
      <c r="Q47" s="3" t="str">
        <f t="shared" si="3"/>
        <v>OK</v>
      </c>
    </row>
    <row r="48" spans="1:17" ht="15" customHeight="1" x14ac:dyDescent="0.3">
      <c r="A48" s="3" t="s">
        <v>313</v>
      </c>
      <c r="B48" s="3" t="s">
        <v>314</v>
      </c>
      <c r="C48" s="3" t="s">
        <v>180</v>
      </c>
      <c r="D48" s="3"/>
      <c r="E48" s="3" t="s">
        <v>315</v>
      </c>
      <c r="F48" s="3" t="s">
        <v>34</v>
      </c>
      <c r="G48" s="3" t="s">
        <v>36</v>
      </c>
      <c r="H48" s="3" t="s">
        <v>53</v>
      </c>
      <c r="I48" s="3" t="s">
        <v>209</v>
      </c>
      <c r="J48" s="3" t="s">
        <v>47</v>
      </c>
      <c r="K48" s="3" t="s">
        <v>27</v>
      </c>
      <c r="L48" s="4">
        <v>272300</v>
      </c>
      <c r="M48" s="3" t="s">
        <v>316</v>
      </c>
      <c r="N48" s="3" t="str">
        <f>IF(COUNTIF($A$2:A48,A48)&gt;1,"Si","No")</f>
        <v>No</v>
      </c>
      <c r="O48" s="3" t="str">
        <f>VLOOKUP(J48,Referencias!$A$2:$B$7,2,FALSE())</f>
        <v>Primera</v>
      </c>
      <c r="P48" s="3" t="str">
        <f t="shared" si="2"/>
        <v>Faltante</v>
      </c>
      <c r="Q48" s="3" t="str">
        <f t="shared" si="3"/>
        <v>OK</v>
      </c>
    </row>
    <row r="49" spans="1:17" ht="15" customHeight="1" x14ac:dyDescent="0.3">
      <c r="A49" s="3" t="s">
        <v>317</v>
      </c>
      <c r="B49" s="3" t="s">
        <v>211</v>
      </c>
      <c r="C49" s="3" t="s">
        <v>318</v>
      </c>
      <c r="D49" s="3" t="s">
        <v>319</v>
      </c>
      <c r="E49" s="3" t="s">
        <v>320</v>
      </c>
      <c r="F49" s="3" t="s">
        <v>22</v>
      </c>
      <c r="G49" s="3" t="s">
        <v>44</v>
      </c>
      <c r="H49" s="3" t="s">
        <v>23</v>
      </c>
      <c r="I49" s="3" t="s">
        <v>101</v>
      </c>
      <c r="J49" s="3" t="s">
        <v>55</v>
      </c>
      <c r="K49" s="3" t="s">
        <v>27</v>
      </c>
      <c r="L49" s="4">
        <v>318700</v>
      </c>
      <c r="M49" s="3" t="s">
        <v>321</v>
      </c>
      <c r="N49" s="3" t="str">
        <f>IF(COUNTIF($A$2:A49,A49)&gt;1,"Si","No")</f>
        <v>No</v>
      </c>
      <c r="O49" s="3" t="str">
        <f>VLOOKUP(J49,Referencias!$A$2:$B$7,2,FALSE())</f>
        <v>Segunda</v>
      </c>
      <c r="P49" s="3" t="str">
        <f t="shared" si="2"/>
        <v>OK</v>
      </c>
      <c r="Q49" s="3" t="str">
        <f t="shared" si="3"/>
        <v>OK</v>
      </c>
    </row>
    <row r="50" spans="1:17" ht="15" customHeight="1" x14ac:dyDescent="0.3">
      <c r="A50" s="3" t="s">
        <v>322</v>
      </c>
      <c r="B50" s="3" t="s">
        <v>323</v>
      </c>
      <c r="C50" s="3" t="s">
        <v>324</v>
      </c>
      <c r="D50" s="3"/>
      <c r="E50" s="3" t="s">
        <v>325</v>
      </c>
      <c r="F50" s="3" t="s">
        <v>22</v>
      </c>
      <c r="G50" s="3" t="s">
        <v>23</v>
      </c>
      <c r="H50" s="3" t="s">
        <v>91</v>
      </c>
      <c r="I50" s="3" t="s">
        <v>326</v>
      </c>
      <c r="J50" s="3" t="s">
        <v>78</v>
      </c>
      <c r="K50" s="3" t="s">
        <v>27</v>
      </c>
      <c r="L50" s="4">
        <v>70100</v>
      </c>
      <c r="M50" s="3" t="s">
        <v>327</v>
      </c>
      <c r="N50" s="3" t="str">
        <f>IF(COUNTIF($A$2:A50,A50)&gt;1,"Si","No")</f>
        <v>No</v>
      </c>
      <c r="O50" s="3" t="str">
        <f>VLOOKUP(J50,Referencias!$A$2:$B$7,2,FALSE())</f>
        <v>Segunda</v>
      </c>
      <c r="P50" s="3" t="str">
        <f t="shared" si="2"/>
        <v>Faltante</v>
      </c>
      <c r="Q50" s="3" t="str">
        <f t="shared" si="3"/>
        <v>OK</v>
      </c>
    </row>
    <row r="51" spans="1:17" ht="15" customHeight="1" x14ac:dyDescent="0.3">
      <c r="A51" s="3" t="s">
        <v>328</v>
      </c>
      <c r="B51" s="3" t="s">
        <v>329</v>
      </c>
      <c r="C51" s="3" t="s">
        <v>330</v>
      </c>
      <c r="D51" s="3"/>
      <c r="E51" s="3" t="s">
        <v>331</v>
      </c>
      <c r="F51" s="3" t="s">
        <v>22</v>
      </c>
      <c r="G51" s="3" t="s">
        <v>24</v>
      </c>
      <c r="H51" s="3" t="s">
        <v>138</v>
      </c>
      <c r="I51" s="3" t="s">
        <v>332</v>
      </c>
      <c r="J51" s="3" t="s">
        <v>100</v>
      </c>
      <c r="K51" s="3" t="s">
        <v>56</v>
      </c>
      <c r="L51" s="4">
        <v>114400</v>
      </c>
      <c r="M51" s="3" t="s">
        <v>140</v>
      </c>
      <c r="N51" s="3" t="str">
        <f>IF(COUNTIF($A$2:A51,A51)&gt;1,"Si","No")</f>
        <v>No</v>
      </c>
      <c r="O51" s="3" t="str">
        <f>VLOOKUP(J51,Referencias!$A$2:$B$7,2,FALSE())</f>
        <v>Primera</v>
      </c>
      <c r="P51" s="3" t="str">
        <f t="shared" si="2"/>
        <v>Faltante</v>
      </c>
      <c r="Q51" s="3" t="str">
        <f t="shared" si="3"/>
        <v>OK</v>
      </c>
    </row>
    <row r="52" spans="1:17" ht="15" customHeight="1" x14ac:dyDescent="0.3">
      <c r="A52" s="3" t="s">
        <v>333</v>
      </c>
      <c r="B52" s="3" t="s">
        <v>334</v>
      </c>
      <c r="C52" s="3" t="s">
        <v>335</v>
      </c>
      <c r="D52" s="3"/>
      <c r="E52" s="3" t="s">
        <v>336</v>
      </c>
      <c r="F52" s="3" t="s">
        <v>22</v>
      </c>
      <c r="G52" s="3" t="s">
        <v>138</v>
      </c>
      <c r="H52" s="3" t="s">
        <v>84</v>
      </c>
      <c r="I52" s="3" t="s">
        <v>337</v>
      </c>
      <c r="J52" s="3" t="s">
        <v>37</v>
      </c>
      <c r="K52" s="3" t="s">
        <v>27</v>
      </c>
      <c r="L52" s="4">
        <v>237800</v>
      </c>
      <c r="M52" s="3" t="s">
        <v>146</v>
      </c>
      <c r="N52" s="3" t="str">
        <f>IF(COUNTIF($A$2:A52,A52)&gt;1,"Si","No")</f>
        <v>No</v>
      </c>
      <c r="O52" s="3" t="str">
        <f>VLOOKUP(J52,Referencias!$A$2:$B$7,2,FALSE())</f>
        <v>Primera</v>
      </c>
      <c r="P52" s="3" t="str">
        <f t="shared" si="2"/>
        <v>Faltante</v>
      </c>
      <c r="Q52" s="3" t="str">
        <f t="shared" si="3"/>
        <v>OK</v>
      </c>
    </row>
    <row r="53" spans="1:17" ht="15" customHeight="1" x14ac:dyDescent="0.3">
      <c r="A53" s="3" t="s">
        <v>338</v>
      </c>
      <c r="B53" s="3" t="s">
        <v>156</v>
      </c>
      <c r="C53" s="3" t="s">
        <v>292</v>
      </c>
      <c r="D53" s="3"/>
      <c r="E53" s="3" t="s">
        <v>339</v>
      </c>
      <c r="F53" s="3" t="s">
        <v>34</v>
      </c>
      <c r="G53" s="3" t="s">
        <v>53</v>
      </c>
      <c r="H53" s="3" t="s">
        <v>44</v>
      </c>
      <c r="I53" s="3" t="s">
        <v>340</v>
      </c>
      <c r="J53" s="3" t="s">
        <v>26</v>
      </c>
      <c r="K53" s="3" t="s">
        <v>27</v>
      </c>
      <c r="L53" s="4">
        <v>135400</v>
      </c>
      <c r="M53" s="3" t="s">
        <v>341</v>
      </c>
      <c r="N53" s="3" t="str">
        <f>IF(COUNTIF($A$2:A53,A53)&gt;1,"Si","No")</f>
        <v>No</v>
      </c>
      <c r="O53" s="3" t="str">
        <f>VLOOKUP(J53,Referencias!$A$2:$B$7,2,FALSE())</f>
        <v>Segunda</v>
      </c>
      <c r="P53" s="3" t="str">
        <f t="shared" si="2"/>
        <v>Faltante</v>
      </c>
      <c r="Q53" s="3" t="str">
        <f t="shared" si="3"/>
        <v>OK</v>
      </c>
    </row>
    <row r="54" spans="1:17" ht="15" customHeight="1" x14ac:dyDescent="0.3">
      <c r="A54" s="3" t="s">
        <v>342</v>
      </c>
      <c r="B54" s="3" t="s">
        <v>343</v>
      </c>
      <c r="C54" s="3" t="s">
        <v>143</v>
      </c>
      <c r="D54" s="3"/>
      <c r="E54" s="3" t="s">
        <v>344</v>
      </c>
      <c r="F54" s="3" t="s">
        <v>34</v>
      </c>
      <c r="G54" s="3" t="s">
        <v>36</v>
      </c>
      <c r="H54" s="3" t="s">
        <v>44</v>
      </c>
      <c r="I54" s="3" t="s">
        <v>77</v>
      </c>
      <c r="J54" s="3" t="s">
        <v>47</v>
      </c>
      <c r="K54" s="3" t="s">
        <v>27</v>
      </c>
      <c r="L54" s="4">
        <v>266700</v>
      </c>
      <c r="M54" s="3" t="s">
        <v>316</v>
      </c>
      <c r="N54" s="3" t="str">
        <f>IF(COUNTIF($A$2:A54,A54)&gt;1,"Si","No")</f>
        <v>No</v>
      </c>
      <c r="O54" s="3" t="str">
        <f>VLOOKUP(J54,Referencias!$A$2:$B$7,2,FALSE())</f>
        <v>Primera</v>
      </c>
      <c r="P54" s="3" t="str">
        <f t="shared" si="2"/>
        <v>Faltante</v>
      </c>
      <c r="Q54" s="3" t="str">
        <f t="shared" si="3"/>
        <v>OK</v>
      </c>
    </row>
    <row r="55" spans="1:17" ht="15" customHeight="1" x14ac:dyDescent="0.3">
      <c r="A55" s="3" t="s">
        <v>345</v>
      </c>
      <c r="B55" s="3" t="s">
        <v>281</v>
      </c>
      <c r="C55" s="3" t="s">
        <v>346</v>
      </c>
      <c r="D55" s="3" t="s">
        <v>347</v>
      </c>
      <c r="E55" s="3" t="s">
        <v>348</v>
      </c>
      <c r="F55" s="3" t="s">
        <v>34</v>
      </c>
      <c r="G55" s="3" t="s">
        <v>44</v>
      </c>
      <c r="H55" s="3" t="s">
        <v>53</v>
      </c>
      <c r="I55" s="3" t="s">
        <v>257</v>
      </c>
      <c r="J55" s="3" t="s">
        <v>78</v>
      </c>
      <c r="K55" s="3" t="s">
        <v>27</v>
      </c>
      <c r="L55" s="4">
        <v>109000</v>
      </c>
      <c r="M55" s="3" t="s">
        <v>349</v>
      </c>
      <c r="N55" s="3" t="str">
        <f>IF(COUNTIF($A$2:A55,A55)&gt;1,"Si","No")</f>
        <v>No</v>
      </c>
      <c r="O55" s="3" t="str">
        <f>VLOOKUP(J55,Referencias!$A$2:$B$7,2,FALSE())</f>
        <v>Segunda</v>
      </c>
      <c r="P55" s="3" t="str">
        <f t="shared" si="2"/>
        <v>OK</v>
      </c>
      <c r="Q55" s="3" t="str">
        <f t="shared" si="3"/>
        <v>OK</v>
      </c>
    </row>
    <row r="56" spans="1:17" ht="15" customHeight="1" x14ac:dyDescent="0.3">
      <c r="A56" s="3" t="s">
        <v>233</v>
      </c>
      <c r="B56" s="3" t="s">
        <v>234</v>
      </c>
      <c r="C56" s="3" t="s">
        <v>235</v>
      </c>
      <c r="D56" s="3" t="s">
        <v>236</v>
      </c>
      <c r="E56" s="3" t="s">
        <v>237</v>
      </c>
      <c r="F56" s="3" t="s">
        <v>34</v>
      </c>
      <c r="G56" s="3" t="s">
        <v>44</v>
      </c>
      <c r="H56" s="3" t="s">
        <v>23</v>
      </c>
      <c r="I56" s="3" t="s">
        <v>238</v>
      </c>
      <c r="J56" s="3" t="s">
        <v>100</v>
      </c>
      <c r="K56" s="3" t="s">
        <v>27</v>
      </c>
      <c r="L56" s="4">
        <v>169800</v>
      </c>
      <c r="M56" s="3" t="s">
        <v>239</v>
      </c>
      <c r="N56" s="3" t="str">
        <f>IF(COUNTIF($A$2:A56,A56)&gt;1,"Si","No")</f>
        <v>Si</v>
      </c>
      <c r="O56" s="3" t="str">
        <f>VLOOKUP(J56,Referencias!$A$2:$B$7,2,FALSE())</f>
        <v>Primera</v>
      </c>
      <c r="P56" s="3" t="str">
        <f t="shared" si="2"/>
        <v>OK</v>
      </c>
      <c r="Q56" s="3" t="str">
        <f t="shared" si="3"/>
        <v>OK</v>
      </c>
    </row>
    <row r="57" spans="1:17" ht="15" customHeight="1" x14ac:dyDescent="0.3">
      <c r="A57" s="3" t="s">
        <v>350</v>
      </c>
      <c r="B57" s="3" t="s">
        <v>65</v>
      </c>
      <c r="C57" s="3" t="s">
        <v>351</v>
      </c>
      <c r="D57" s="3" t="s">
        <v>352</v>
      </c>
      <c r="E57" s="3" t="s">
        <v>353</v>
      </c>
      <c r="F57" s="3" t="s">
        <v>22</v>
      </c>
      <c r="G57" s="3" t="s">
        <v>24</v>
      </c>
      <c r="H57" s="3" t="s">
        <v>35</v>
      </c>
      <c r="I57" s="3" t="s">
        <v>354</v>
      </c>
      <c r="J57" s="3" t="s">
        <v>100</v>
      </c>
      <c r="K57" s="3" t="s">
        <v>27</v>
      </c>
      <c r="L57" s="4">
        <v>98000</v>
      </c>
      <c r="M57" s="3" t="s">
        <v>355</v>
      </c>
      <c r="N57" s="3" t="str">
        <f>IF(COUNTIF($A$2:A57,A57)&gt;1,"Si","No")</f>
        <v>No</v>
      </c>
      <c r="O57" s="3" t="str">
        <f>VLOOKUP(J57,Referencias!$A$2:$B$7,2,FALSE())</f>
        <v>Primera</v>
      </c>
      <c r="P57" s="3" t="str">
        <f t="shared" si="2"/>
        <v>OK</v>
      </c>
      <c r="Q57" s="3" t="str">
        <f t="shared" si="3"/>
        <v>OK</v>
      </c>
    </row>
    <row r="58" spans="1:17" ht="15" customHeight="1" x14ac:dyDescent="0.3">
      <c r="A58" s="3" t="s">
        <v>356</v>
      </c>
      <c r="B58" s="3" t="s">
        <v>357</v>
      </c>
      <c r="C58" s="3" t="s">
        <v>358</v>
      </c>
      <c r="D58" s="3" t="s">
        <v>359</v>
      </c>
      <c r="E58" s="3" t="s">
        <v>360</v>
      </c>
      <c r="F58" s="3" t="s">
        <v>22</v>
      </c>
      <c r="G58" s="3" t="s">
        <v>91</v>
      </c>
      <c r="H58" s="3" t="s">
        <v>53</v>
      </c>
      <c r="I58" s="3" t="s">
        <v>48</v>
      </c>
      <c r="J58" s="3" t="s">
        <v>100</v>
      </c>
      <c r="K58" s="3" t="s">
        <v>27</v>
      </c>
      <c r="L58" s="3"/>
      <c r="M58" s="3" t="s">
        <v>232</v>
      </c>
      <c r="N58" s="3" t="str">
        <f>IF(COUNTIF($A$2:A58,A58)&gt;1,"Si","No")</f>
        <v>No</v>
      </c>
      <c r="O58" s="3" t="str">
        <f>VLOOKUP(J58,Referencias!$A$2:$B$7,2,FALSE())</f>
        <v>Primera</v>
      </c>
      <c r="P58" s="3" t="str">
        <f t="shared" si="2"/>
        <v>OK</v>
      </c>
      <c r="Q58" s="3" t="str">
        <f t="shared" si="3"/>
        <v>Faltante</v>
      </c>
    </row>
    <row r="59" spans="1:17" ht="15" customHeight="1" x14ac:dyDescent="0.3">
      <c r="A59" s="3" t="s">
        <v>361</v>
      </c>
      <c r="B59" s="3" t="s">
        <v>103</v>
      </c>
      <c r="C59" s="3" t="s">
        <v>180</v>
      </c>
      <c r="D59" s="3" t="s">
        <v>362</v>
      </c>
      <c r="E59" s="3"/>
      <c r="F59" s="3" t="s">
        <v>22</v>
      </c>
      <c r="G59" s="3" t="s">
        <v>53</v>
      </c>
      <c r="H59" s="3" t="s">
        <v>138</v>
      </c>
      <c r="I59" s="3" t="s">
        <v>363</v>
      </c>
      <c r="J59" s="3" t="s">
        <v>26</v>
      </c>
      <c r="K59" s="3" t="s">
        <v>27</v>
      </c>
      <c r="L59" s="4">
        <v>197400</v>
      </c>
      <c r="M59" s="3" t="s">
        <v>364</v>
      </c>
      <c r="N59" s="3" t="str">
        <f>IF(COUNTIF($A$2:A59,A59)&gt;1,"Si","No")</f>
        <v>No</v>
      </c>
      <c r="O59" s="3" t="str">
        <f>VLOOKUP(J59,Referencias!$A$2:$B$7,2,FALSE())</f>
        <v>Segunda</v>
      </c>
      <c r="P59" s="3" t="str">
        <f t="shared" si="2"/>
        <v>OK</v>
      </c>
      <c r="Q59" s="3" t="str">
        <f t="shared" si="3"/>
        <v>OK</v>
      </c>
    </row>
    <row r="60" spans="1:17" ht="15" customHeight="1" x14ac:dyDescent="0.3">
      <c r="A60" s="3" t="s">
        <v>365</v>
      </c>
      <c r="B60" s="3" t="s">
        <v>95</v>
      </c>
      <c r="C60" s="3" t="s">
        <v>366</v>
      </c>
      <c r="D60" s="3" t="s">
        <v>367</v>
      </c>
      <c r="E60" s="3" t="s">
        <v>368</v>
      </c>
      <c r="F60" s="3" t="s">
        <v>34</v>
      </c>
      <c r="G60" s="3" t="s">
        <v>84</v>
      </c>
      <c r="H60" s="3" t="s">
        <v>91</v>
      </c>
      <c r="I60" s="3" t="s">
        <v>369</v>
      </c>
      <c r="J60" s="3" t="s">
        <v>100</v>
      </c>
      <c r="K60" s="3" t="s">
        <v>27</v>
      </c>
      <c r="L60" s="4">
        <v>273400</v>
      </c>
      <c r="M60" s="3" t="s">
        <v>370</v>
      </c>
      <c r="N60" s="3" t="str">
        <f>IF(COUNTIF($A$2:A60,A60)&gt;1,"Si","No")</f>
        <v>No</v>
      </c>
      <c r="O60" s="3" t="str">
        <f>VLOOKUP(J60,Referencias!$A$2:$B$7,2,FALSE())</f>
        <v>Primera</v>
      </c>
      <c r="P60" s="3" t="str">
        <f t="shared" si="2"/>
        <v>OK</v>
      </c>
      <c r="Q60" s="3" t="str">
        <f t="shared" si="3"/>
        <v>OK</v>
      </c>
    </row>
    <row r="61" spans="1:17" ht="15" customHeight="1" x14ac:dyDescent="0.3">
      <c r="A61" s="3" t="s">
        <v>371</v>
      </c>
      <c r="B61" s="3" t="s">
        <v>87</v>
      </c>
      <c r="C61" s="3" t="s">
        <v>372</v>
      </c>
      <c r="D61" s="3" t="s">
        <v>373</v>
      </c>
      <c r="E61" s="3" t="s">
        <v>374</v>
      </c>
      <c r="F61" s="3" t="s">
        <v>34</v>
      </c>
      <c r="G61" s="3" t="s">
        <v>138</v>
      </c>
      <c r="H61" s="3" t="s">
        <v>53</v>
      </c>
      <c r="I61" s="3" t="s">
        <v>375</v>
      </c>
      <c r="J61" s="3" t="s">
        <v>100</v>
      </c>
      <c r="K61" s="3" t="s">
        <v>27</v>
      </c>
      <c r="L61" s="4">
        <v>176600</v>
      </c>
      <c r="M61" s="3" t="s">
        <v>376</v>
      </c>
      <c r="N61" s="3" t="str">
        <f>IF(COUNTIF($A$2:A61,A61)&gt;1,"Si","No")</f>
        <v>No</v>
      </c>
      <c r="O61" s="3" t="str">
        <f>VLOOKUP(J61,Referencias!$A$2:$B$7,2,FALSE())</f>
        <v>Primera</v>
      </c>
      <c r="P61" s="3" t="str">
        <f t="shared" si="2"/>
        <v>OK</v>
      </c>
      <c r="Q61" s="3" t="str">
        <f t="shared" si="3"/>
        <v>OK</v>
      </c>
    </row>
    <row r="62" spans="1:17" ht="15" customHeight="1" x14ac:dyDescent="0.3">
      <c r="A62" s="3" t="s">
        <v>377</v>
      </c>
      <c r="B62" s="3" t="s">
        <v>40</v>
      </c>
      <c r="C62" s="3" t="s">
        <v>378</v>
      </c>
      <c r="D62" s="3" t="s">
        <v>379</v>
      </c>
      <c r="E62" s="3" t="s">
        <v>380</v>
      </c>
      <c r="F62" s="3" t="s">
        <v>34</v>
      </c>
      <c r="G62" s="3" t="s">
        <v>44</v>
      </c>
      <c r="H62" s="3" t="s">
        <v>84</v>
      </c>
      <c r="I62" s="3" t="s">
        <v>263</v>
      </c>
      <c r="J62" s="3" t="s">
        <v>100</v>
      </c>
      <c r="K62" s="3" t="s">
        <v>27</v>
      </c>
      <c r="L62" s="4">
        <v>63900</v>
      </c>
      <c r="M62" s="3" t="s">
        <v>190</v>
      </c>
      <c r="N62" s="3" t="str">
        <f>IF(COUNTIF($A$2:A62,A62)&gt;1,"Si","No")</f>
        <v>No</v>
      </c>
      <c r="O62" s="3" t="str">
        <f>VLOOKUP(J62,Referencias!$A$2:$B$7,2,FALSE())</f>
        <v>Primera</v>
      </c>
      <c r="P62" s="3" t="str">
        <f t="shared" si="2"/>
        <v>OK</v>
      </c>
      <c r="Q62" s="3" t="str">
        <f t="shared" si="3"/>
        <v>OK</v>
      </c>
    </row>
    <row r="63" spans="1:17" ht="15" customHeight="1" x14ac:dyDescent="0.3">
      <c r="A63" s="3" t="s">
        <v>381</v>
      </c>
      <c r="B63" s="3" t="s">
        <v>382</v>
      </c>
      <c r="C63" s="3" t="s">
        <v>383</v>
      </c>
      <c r="D63" s="3"/>
      <c r="E63" s="3" t="s">
        <v>384</v>
      </c>
      <c r="F63" s="3" t="s">
        <v>34</v>
      </c>
      <c r="G63" s="3" t="s">
        <v>24</v>
      </c>
      <c r="H63" s="3" t="s">
        <v>53</v>
      </c>
      <c r="I63" s="3" t="s">
        <v>385</v>
      </c>
      <c r="J63" s="3" t="s">
        <v>55</v>
      </c>
      <c r="K63" s="3" t="s">
        <v>27</v>
      </c>
      <c r="L63" s="4">
        <v>279200</v>
      </c>
      <c r="M63" s="3" t="s">
        <v>386</v>
      </c>
      <c r="N63" s="3" t="str">
        <f>IF(COUNTIF($A$2:A63,A63)&gt;1,"Si","No")</f>
        <v>No</v>
      </c>
      <c r="O63" s="3" t="str">
        <f>VLOOKUP(J63,Referencias!$A$2:$B$7,2,FALSE())</f>
        <v>Segunda</v>
      </c>
      <c r="P63" s="3" t="str">
        <f t="shared" si="2"/>
        <v>Faltante</v>
      </c>
      <c r="Q63" s="3" t="str">
        <f t="shared" si="3"/>
        <v>OK</v>
      </c>
    </row>
    <row r="64" spans="1:17" ht="15" customHeight="1" x14ac:dyDescent="0.3">
      <c r="A64" s="3" t="s">
        <v>387</v>
      </c>
      <c r="B64" s="3" t="s">
        <v>167</v>
      </c>
      <c r="C64" s="3" t="s">
        <v>335</v>
      </c>
      <c r="D64" s="3" t="s">
        <v>388</v>
      </c>
      <c r="E64" s="3" t="s">
        <v>389</v>
      </c>
      <c r="F64" s="3" t="s">
        <v>34</v>
      </c>
      <c r="G64" s="3" t="s">
        <v>53</v>
      </c>
      <c r="H64" s="3" t="s">
        <v>23</v>
      </c>
      <c r="I64" s="3" t="s">
        <v>390</v>
      </c>
      <c r="J64" s="3" t="s">
        <v>100</v>
      </c>
      <c r="K64" s="3" t="s">
        <v>70</v>
      </c>
      <c r="L64" s="4">
        <v>270700</v>
      </c>
      <c r="M64" s="3" t="s">
        <v>391</v>
      </c>
      <c r="N64" s="3" t="str">
        <f>IF(COUNTIF($A$2:A64,A64)&gt;1,"Si","No")</f>
        <v>No</v>
      </c>
      <c r="O64" s="3" t="str">
        <f>VLOOKUP(J64,Referencias!$A$2:$B$7,2,FALSE())</f>
        <v>Primera</v>
      </c>
      <c r="P64" s="3" t="str">
        <f t="shared" si="2"/>
        <v>OK</v>
      </c>
      <c r="Q64" s="3" t="str">
        <f t="shared" si="3"/>
        <v>OK</v>
      </c>
    </row>
    <row r="65" spans="1:17" ht="15" customHeight="1" x14ac:dyDescent="0.3">
      <c r="A65" s="3" t="s">
        <v>392</v>
      </c>
      <c r="B65" s="3" t="s">
        <v>393</v>
      </c>
      <c r="C65" s="3" t="s">
        <v>394</v>
      </c>
      <c r="D65" s="3" t="s">
        <v>395</v>
      </c>
      <c r="E65" s="3" t="s">
        <v>396</v>
      </c>
      <c r="F65" s="3" t="s">
        <v>22</v>
      </c>
      <c r="G65" s="3" t="s">
        <v>53</v>
      </c>
      <c r="H65" s="3" t="s">
        <v>44</v>
      </c>
      <c r="I65" s="3" t="s">
        <v>397</v>
      </c>
      <c r="J65" s="3" t="s">
        <v>37</v>
      </c>
      <c r="K65" s="3" t="s">
        <v>27</v>
      </c>
      <c r="L65" s="4">
        <v>225100</v>
      </c>
      <c r="M65" s="3" t="s">
        <v>398</v>
      </c>
      <c r="N65" s="3" t="str">
        <f>IF(COUNTIF($A$2:A65,A65)&gt;1,"Si","No")</f>
        <v>No</v>
      </c>
      <c r="O65" s="3" t="str">
        <f>VLOOKUP(J65,Referencias!$A$2:$B$7,2,FALSE())</f>
        <v>Primera</v>
      </c>
      <c r="P65" s="3" t="str">
        <f t="shared" si="2"/>
        <v>OK</v>
      </c>
      <c r="Q65" s="3" t="str">
        <f t="shared" si="3"/>
        <v>OK</v>
      </c>
    </row>
    <row r="66" spans="1:17" ht="15" customHeight="1" x14ac:dyDescent="0.3">
      <c r="A66" s="3" t="s">
        <v>399</v>
      </c>
      <c r="B66" s="3" t="s">
        <v>18</v>
      </c>
      <c r="C66" s="3" t="s">
        <v>400</v>
      </c>
      <c r="D66" s="3" t="s">
        <v>401</v>
      </c>
      <c r="E66" s="3" t="s">
        <v>402</v>
      </c>
      <c r="F66" s="3" t="s">
        <v>34</v>
      </c>
      <c r="G66" s="3" t="s">
        <v>53</v>
      </c>
      <c r="H66" s="3" t="s">
        <v>36</v>
      </c>
      <c r="I66" s="3" t="s">
        <v>99</v>
      </c>
      <c r="J66" s="3" t="s">
        <v>55</v>
      </c>
      <c r="K66" s="3" t="s">
        <v>56</v>
      </c>
      <c r="L66" s="4">
        <v>315700</v>
      </c>
      <c r="M66" s="3" t="s">
        <v>306</v>
      </c>
      <c r="N66" s="3" t="str">
        <f>IF(COUNTIF($A$2:A66,A66)&gt;1,"Si","No")</f>
        <v>No</v>
      </c>
      <c r="O66" s="3" t="str">
        <f>VLOOKUP(J66,Referencias!$A$2:$B$7,2,FALSE())</f>
        <v>Segunda</v>
      </c>
      <c r="P66" s="3" t="str">
        <f t="shared" ref="P66:P97" si="4">IF(D66="","Faltante","OK")</f>
        <v>OK</v>
      </c>
      <c r="Q66" s="3" t="str">
        <f t="shared" ref="Q66:Q97" si="5">IF(L66="","Faltante","OK")</f>
        <v>OK</v>
      </c>
    </row>
    <row r="67" spans="1:17" ht="15" customHeight="1" x14ac:dyDescent="0.3">
      <c r="A67" s="3" t="s">
        <v>403</v>
      </c>
      <c r="B67" s="3" t="s">
        <v>404</v>
      </c>
      <c r="C67" s="3" t="s">
        <v>405</v>
      </c>
      <c r="D67" s="3" t="s">
        <v>406</v>
      </c>
      <c r="E67" s="3" t="s">
        <v>407</v>
      </c>
      <c r="F67" s="3" t="s">
        <v>22</v>
      </c>
      <c r="G67" s="3" t="s">
        <v>23</v>
      </c>
      <c r="H67" s="3" t="s">
        <v>36</v>
      </c>
      <c r="I67" s="3" t="s">
        <v>408</v>
      </c>
      <c r="J67" s="3" t="s">
        <v>26</v>
      </c>
      <c r="K67" s="3" t="s">
        <v>27</v>
      </c>
      <c r="L67" s="4">
        <v>99900</v>
      </c>
      <c r="M67" s="3" t="s">
        <v>349</v>
      </c>
      <c r="N67" s="3" t="str">
        <f>IF(COUNTIF($A$2:A67,A67)&gt;1,"Si","No")</f>
        <v>No</v>
      </c>
      <c r="O67" s="3" t="str">
        <f>VLOOKUP(J67,Referencias!$A$2:$B$7,2,FALSE())</f>
        <v>Segunda</v>
      </c>
      <c r="P67" s="3" t="str">
        <f t="shared" si="4"/>
        <v>OK</v>
      </c>
      <c r="Q67" s="3" t="str">
        <f t="shared" si="5"/>
        <v>OK</v>
      </c>
    </row>
    <row r="68" spans="1:17" ht="15" customHeight="1" x14ac:dyDescent="0.3">
      <c r="A68" s="3" t="s">
        <v>409</v>
      </c>
      <c r="B68" s="3" t="s">
        <v>156</v>
      </c>
      <c r="C68" s="3" t="s">
        <v>410</v>
      </c>
      <c r="D68" s="3" t="s">
        <v>411</v>
      </c>
      <c r="E68" s="3" t="s">
        <v>412</v>
      </c>
      <c r="F68" s="3" t="s">
        <v>22</v>
      </c>
      <c r="G68" s="3" t="s">
        <v>91</v>
      </c>
      <c r="H68" s="3" t="s">
        <v>84</v>
      </c>
      <c r="I68" s="3" t="s">
        <v>413</v>
      </c>
      <c r="J68" s="3" t="s">
        <v>26</v>
      </c>
      <c r="K68" s="3" t="s">
        <v>27</v>
      </c>
      <c r="L68" s="4">
        <v>291900</v>
      </c>
      <c r="M68" s="3" t="s">
        <v>48</v>
      </c>
      <c r="N68" s="3" t="str">
        <f>IF(COUNTIF($A$2:A68,A68)&gt;1,"Si","No")</f>
        <v>No</v>
      </c>
      <c r="O68" s="3" t="str">
        <f>VLOOKUP(J68,Referencias!$A$2:$B$7,2,FALSE())</f>
        <v>Segunda</v>
      </c>
      <c r="P68" s="3" t="str">
        <f t="shared" si="4"/>
        <v>OK</v>
      </c>
      <c r="Q68" s="3" t="str">
        <f t="shared" si="5"/>
        <v>OK</v>
      </c>
    </row>
    <row r="69" spans="1:17" ht="15" customHeight="1" x14ac:dyDescent="0.3">
      <c r="A69" s="3" t="s">
        <v>414</v>
      </c>
      <c r="B69" s="3" t="s">
        <v>128</v>
      </c>
      <c r="C69" s="3" t="s">
        <v>400</v>
      </c>
      <c r="D69" s="3"/>
      <c r="E69" s="3" t="s">
        <v>415</v>
      </c>
      <c r="F69" s="3" t="s">
        <v>22</v>
      </c>
      <c r="G69" s="3" t="s">
        <v>53</v>
      </c>
      <c r="H69" s="3" t="s">
        <v>23</v>
      </c>
      <c r="I69" s="3" t="s">
        <v>171</v>
      </c>
      <c r="J69" s="3" t="s">
        <v>100</v>
      </c>
      <c r="K69" s="3" t="s">
        <v>27</v>
      </c>
      <c r="L69" s="4">
        <v>220700</v>
      </c>
      <c r="M69" s="3" t="s">
        <v>416</v>
      </c>
      <c r="N69" s="3" t="str">
        <f>IF(COUNTIF($A$2:A69,A69)&gt;1,"Si","No")</f>
        <v>No</v>
      </c>
      <c r="O69" s="3" t="str">
        <f>VLOOKUP(J69,Referencias!$A$2:$B$7,2,FALSE())</f>
        <v>Primera</v>
      </c>
      <c r="P69" s="3" t="str">
        <f t="shared" si="4"/>
        <v>Faltante</v>
      </c>
      <c r="Q69" s="3" t="str">
        <f t="shared" si="5"/>
        <v>OK</v>
      </c>
    </row>
    <row r="70" spans="1:17" ht="15" customHeight="1" x14ac:dyDescent="0.3">
      <c r="A70" s="3" t="s">
        <v>417</v>
      </c>
      <c r="B70" s="3" t="s">
        <v>418</v>
      </c>
      <c r="C70" s="3" t="s">
        <v>419</v>
      </c>
      <c r="D70" s="3" t="s">
        <v>420</v>
      </c>
      <c r="E70" s="3" t="s">
        <v>421</v>
      </c>
      <c r="F70" s="3" t="s">
        <v>34</v>
      </c>
      <c r="G70" s="3" t="s">
        <v>24</v>
      </c>
      <c r="H70" s="3" t="s">
        <v>36</v>
      </c>
      <c r="I70" s="3" t="s">
        <v>422</v>
      </c>
      <c r="J70" s="3" t="s">
        <v>55</v>
      </c>
      <c r="K70" s="3" t="s">
        <v>70</v>
      </c>
      <c r="L70" s="4">
        <v>227400</v>
      </c>
      <c r="M70" s="3" t="s">
        <v>423</v>
      </c>
      <c r="N70" s="3" t="str">
        <f>IF(COUNTIF($A$2:A70,A70)&gt;1,"Si","No")</f>
        <v>No</v>
      </c>
      <c r="O70" s="3" t="str">
        <f>VLOOKUP(J70,Referencias!$A$2:$B$7,2,FALSE())</f>
        <v>Segunda</v>
      </c>
      <c r="P70" s="3" t="str">
        <f t="shared" si="4"/>
        <v>OK</v>
      </c>
      <c r="Q70" s="3" t="str">
        <f t="shared" si="5"/>
        <v>OK</v>
      </c>
    </row>
    <row r="71" spans="1:17" ht="15" customHeight="1" x14ac:dyDescent="0.3">
      <c r="A71" s="3" t="s">
        <v>424</v>
      </c>
      <c r="B71" s="3" t="s">
        <v>425</v>
      </c>
      <c r="C71" s="3" t="s">
        <v>378</v>
      </c>
      <c r="D71" s="3" t="s">
        <v>426</v>
      </c>
      <c r="E71" s="3" t="s">
        <v>427</v>
      </c>
      <c r="F71" s="3" t="s">
        <v>34</v>
      </c>
      <c r="G71" s="3" t="s">
        <v>44</v>
      </c>
      <c r="H71" s="3" t="s">
        <v>84</v>
      </c>
      <c r="I71" s="3" t="s">
        <v>25</v>
      </c>
      <c r="J71" s="3" t="s">
        <v>55</v>
      </c>
      <c r="K71" s="3" t="s">
        <v>27</v>
      </c>
      <c r="L71" s="4">
        <v>243900</v>
      </c>
      <c r="M71" s="3" t="s">
        <v>238</v>
      </c>
      <c r="N71" s="3" t="str">
        <f>IF(COUNTIF($A$2:A71,A71)&gt;1,"Si","No")</f>
        <v>No</v>
      </c>
      <c r="O71" s="3" t="str">
        <f>VLOOKUP(J71,Referencias!$A$2:$B$7,2,FALSE())</f>
        <v>Segunda</v>
      </c>
      <c r="P71" s="3" t="str">
        <f t="shared" si="4"/>
        <v>OK</v>
      </c>
      <c r="Q71" s="3" t="str">
        <f t="shared" si="5"/>
        <v>OK</v>
      </c>
    </row>
    <row r="72" spans="1:17" ht="15" customHeight="1" x14ac:dyDescent="0.3">
      <c r="A72" s="3" t="s">
        <v>428</v>
      </c>
      <c r="B72" s="3" t="s">
        <v>404</v>
      </c>
      <c r="C72" s="3" t="s">
        <v>394</v>
      </c>
      <c r="D72" s="3" t="s">
        <v>429</v>
      </c>
      <c r="E72" s="3" t="s">
        <v>430</v>
      </c>
      <c r="F72" s="3" t="s">
        <v>22</v>
      </c>
      <c r="G72" s="3" t="s">
        <v>23</v>
      </c>
      <c r="H72" s="3" t="s">
        <v>36</v>
      </c>
      <c r="I72" s="3" t="s">
        <v>431</v>
      </c>
      <c r="J72" s="3" t="s">
        <v>55</v>
      </c>
      <c r="K72" s="3" t="s">
        <v>70</v>
      </c>
      <c r="L72" s="4">
        <v>242600</v>
      </c>
      <c r="M72" s="3" t="s">
        <v>398</v>
      </c>
      <c r="N72" s="3" t="str">
        <f>IF(COUNTIF($A$2:A72,A72)&gt;1,"Si","No")</f>
        <v>No</v>
      </c>
      <c r="O72" s="3" t="str">
        <f>VLOOKUP(J72,Referencias!$A$2:$B$7,2,FALSE())</f>
        <v>Segunda</v>
      </c>
      <c r="P72" s="3" t="str">
        <f t="shared" si="4"/>
        <v>OK</v>
      </c>
      <c r="Q72" s="3" t="str">
        <f t="shared" si="5"/>
        <v>OK</v>
      </c>
    </row>
    <row r="73" spans="1:17" ht="15" customHeight="1" x14ac:dyDescent="0.3">
      <c r="A73" s="3" t="s">
        <v>432</v>
      </c>
      <c r="B73" s="3" t="s">
        <v>186</v>
      </c>
      <c r="C73" s="3" t="s">
        <v>247</v>
      </c>
      <c r="D73" s="3" t="s">
        <v>433</v>
      </c>
      <c r="E73" s="3" t="s">
        <v>434</v>
      </c>
      <c r="F73" s="3" t="s">
        <v>34</v>
      </c>
      <c r="G73" s="3" t="s">
        <v>24</v>
      </c>
      <c r="H73" s="3" t="s">
        <v>23</v>
      </c>
      <c r="I73" s="3" t="s">
        <v>435</v>
      </c>
      <c r="J73" s="3" t="s">
        <v>26</v>
      </c>
      <c r="K73" s="3" t="s">
        <v>27</v>
      </c>
      <c r="L73" s="4">
        <v>87800</v>
      </c>
      <c r="M73" s="3" t="s">
        <v>436</v>
      </c>
      <c r="N73" s="3" t="str">
        <f>IF(COUNTIF($A$2:A73,A73)&gt;1,"Si","No")</f>
        <v>No</v>
      </c>
      <c r="O73" s="3" t="str">
        <f>VLOOKUP(J73,Referencias!$A$2:$B$7,2,FALSE())</f>
        <v>Segunda</v>
      </c>
      <c r="P73" s="3" t="str">
        <f t="shared" si="4"/>
        <v>OK</v>
      </c>
      <c r="Q73" s="3" t="str">
        <f t="shared" si="5"/>
        <v>OK</v>
      </c>
    </row>
    <row r="74" spans="1:17" ht="15" customHeight="1" x14ac:dyDescent="0.3">
      <c r="A74" s="3" t="s">
        <v>437</v>
      </c>
      <c r="B74" s="3" t="s">
        <v>223</v>
      </c>
      <c r="C74" s="3" t="s">
        <v>438</v>
      </c>
      <c r="D74" s="3" t="s">
        <v>439</v>
      </c>
      <c r="E74" s="3" t="s">
        <v>440</v>
      </c>
      <c r="F74" s="3" t="s">
        <v>22</v>
      </c>
      <c r="G74" s="3" t="s">
        <v>24</v>
      </c>
      <c r="H74" s="3" t="s">
        <v>36</v>
      </c>
      <c r="I74" s="3" t="s">
        <v>441</v>
      </c>
      <c r="J74" s="3" t="s">
        <v>100</v>
      </c>
      <c r="K74" s="3" t="s">
        <v>27</v>
      </c>
      <c r="L74" s="4">
        <v>111500</v>
      </c>
      <c r="M74" s="3" t="s">
        <v>423</v>
      </c>
      <c r="N74" s="3" t="str">
        <f>IF(COUNTIF($A$2:A74,A74)&gt;1,"Si","No")</f>
        <v>No</v>
      </c>
      <c r="O74" s="3" t="str">
        <f>VLOOKUP(J74,Referencias!$A$2:$B$7,2,FALSE())</f>
        <v>Primera</v>
      </c>
      <c r="P74" s="3" t="str">
        <f t="shared" si="4"/>
        <v>OK</v>
      </c>
      <c r="Q74" s="3" t="str">
        <f t="shared" si="5"/>
        <v>OK</v>
      </c>
    </row>
    <row r="75" spans="1:17" ht="15" customHeight="1" x14ac:dyDescent="0.3">
      <c r="A75" s="3" t="s">
        <v>442</v>
      </c>
      <c r="B75" s="3" t="s">
        <v>128</v>
      </c>
      <c r="C75" s="3" t="s">
        <v>41</v>
      </c>
      <c r="D75" s="3" t="s">
        <v>443</v>
      </c>
      <c r="E75" s="3" t="s">
        <v>444</v>
      </c>
      <c r="F75" s="3" t="s">
        <v>22</v>
      </c>
      <c r="G75" s="3" t="s">
        <v>35</v>
      </c>
      <c r="H75" s="3" t="s">
        <v>36</v>
      </c>
      <c r="I75" s="3" t="s">
        <v>445</v>
      </c>
      <c r="J75" s="3" t="s">
        <v>47</v>
      </c>
      <c r="K75" s="3" t="s">
        <v>27</v>
      </c>
      <c r="L75" s="3"/>
      <c r="M75" s="3" t="s">
        <v>300</v>
      </c>
      <c r="N75" s="3" t="str">
        <f>IF(COUNTIF($A$2:A75,A75)&gt;1,"Si","No")</f>
        <v>No</v>
      </c>
      <c r="O75" s="3" t="str">
        <f>VLOOKUP(J75,Referencias!$A$2:$B$7,2,FALSE())</f>
        <v>Primera</v>
      </c>
      <c r="P75" s="3" t="str">
        <f t="shared" si="4"/>
        <v>OK</v>
      </c>
      <c r="Q75" s="3" t="str">
        <f t="shared" si="5"/>
        <v>Faltante</v>
      </c>
    </row>
    <row r="76" spans="1:17" ht="15" customHeight="1" x14ac:dyDescent="0.3">
      <c r="A76" s="3" t="s">
        <v>446</v>
      </c>
      <c r="B76" s="3" t="s">
        <v>128</v>
      </c>
      <c r="C76" s="3" t="s">
        <v>447</v>
      </c>
      <c r="D76" s="3" t="s">
        <v>448</v>
      </c>
      <c r="E76" s="3" t="s">
        <v>449</v>
      </c>
      <c r="F76" s="3" t="s">
        <v>34</v>
      </c>
      <c r="G76" s="3" t="s">
        <v>36</v>
      </c>
      <c r="H76" s="3" t="s">
        <v>53</v>
      </c>
      <c r="I76" s="3" t="s">
        <v>450</v>
      </c>
      <c r="J76" s="3" t="s">
        <v>55</v>
      </c>
      <c r="K76" s="3" t="s">
        <v>56</v>
      </c>
      <c r="L76" s="4">
        <v>235900</v>
      </c>
      <c r="M76" s="3" t="s">
        <v>451</v>
      </c>
      <c r="N76" s="3" t="str">
        <f>IF(COUNTIF($A$2:A76,A76)&gt;1,"Si","No")</f>
        <v>No</v>
      </c>
      <c r="O76" s="3" t="str">
        <f>VLOOKUP(J76,Referencias!$A$2:$B$7,2,FALSE())</f>
        <v>Segunda</v>
      </c>
      <c r="P76" s="3" t="str">
        <f t="shared" si="4"/>
        <v>OK</v>
      </c>
      <c r="Q76" s="3" t="str">
        <f t="shared" si="5"/>
        <v>OK</v>
      </c>
    </row>
    <row r="77" spans="1:17" ht="15" customHeight="1" x14ac:dyDescent="0.3">
      <c r="A77" s="3" t="s">
        <v>452</v>
      </c>
      <c r="B77" s="3" t="s">
        <v>404</v>
      </c>
      <c r="C77" s="3" t="s">
        <v>453</v>
      </c>
      <c r="D77" s="3"/>
      <c r="E77" s="3" t="s">
        <v>454</v>
      </c>
      <c r="F77" s="3" t="s">
        <v>34</v>
      </c>
      <c r="G77" s="3" t="s">
        <v>36</v>
      </c>
      <c r="H77" s="3" t="s">
        <v>91</v>
      </c>
      <c r="I77" s="3" t="s">
        <v>455</v>
      </c>
      <c r="J77" s="3" t="s">
        <v>100</v>
      </c>
      <c r="K77" s="3" t="s">
        <v>27</v>
      </c>
      <c r="L77" s="4">
        <v>312400</v>
      </c>
      <c r="M77" s="3" t="s">
        <v>456</v>
      </c>
      <c r="N77" s="3" t="str">
        <f>IF(COUNTIF($A$2:A77,A77)&gt;1,"Si","No")</f>
        <v>No</v>
      </c>
      <c r="O77" s="3" t="str">
        <f>VLOOKUP(J77,Referencias!$A$2:$B$7,2,FALSE())</f>
        <v>Primera</v>
      </c>
      <c r="P77" s="3" t="str">
        <f t="shared" si="4"/>
        <v>Faltante</v>
      </c>
      <c r="Q77" s="3" t="str">
        <f t="shared" si="5"/>
        <v>OK</v>
      </c>
    </row>
    <row r="78" spans="1:17" ht="15" customHeight="1" x14ac:dyDescent="0.3">
      <c r="A78" s="3" t="s">
        <v>457</v>
      </c>
      <c r="B78" s="3" t="s">
        <v>458</v>
      </c>
      <c r="C78" s="3" t="s">
        <v>459</v>
      </c>
      <c r="D78" s="3" t="s">
        <v>460</v>
      </c>
      <c r="E78" s="3" t="s">
        <v>461</v>
      </c>
      <c r="F78" s="3" t="s">
        <v>22</v>
      </c>
      <c r="G78" s="3" t="s">
        <v>91</v>
      </c>
      <c r="H78" s="3" t="s">
        <v>53</v>
      </c>
      <c r="I78" s="3" t="s">
        <v>332</v>
      </c>
      <c r="J78" s="3" t="s">
        <v>37</v>
      </c>
      <c r="K78" s="3" t="s">
        <v>56</v>
      </c>
      <c r="L78" s="4">
        <v>269600</v>
      </c>
      <c r="M78" s="3" t="s">
        <v>462</v>
      </c>
      <c r="N78" s="3" t="str">
        <f>IF(COUNTIF($A$2:A78,A78)&gt;1,"Si","No")</f>
        <v>No</v>
      </c>
      <c r="O78" s="3" t="str">
        <f>VLOOKUP(J78,Referencias!$A$2:$B$7,2,FALSE())</f>
        <v>Primera</v>
      </c>
      <c r="P78" s="3" t="str">
        <f t="shared" si="4"/>
        <v>OK</v>
      </c>
      <c r="Q78" s="3" t="str">
        <f t="shared" si="5"/>
        <v>OK</v>
      </c>
    </row>
    <row r="79" spans="1:17" ht="15" customHeight="1" x14ac:dyDescent="0.3">
      <c r="A79" s="3" t="s">
        <v>463</v>
      </c>
      <c r="B79" s="3" t="s">
        <v>464</v>
      </c>
      <c r="C79" s="3" t="s">
        <v>465</v>
      </c>
      <c r="D79" s="3"/>
      <c r="E79" s="3" t="s">
        <v>466</v>
      </c>
      <c r="F79" s="3" t="s">
        <v>34</v>
      </c>
      <c r="G79" s="3" t="s">
        <v>24</v>
      </c>
      <c r="H79" s="3" t="s">
        <v>91</v>
      </c>
      <c r="I79" s="3" t="s">
        <v>467</v>
      </c>
      <c r="J79" s="3" t="s">
        <v>78</v>
      </c>
      <c r="K79" s="3" t="s">
        <v>27</v>
      </c>
      <c r="L79" s="4">
        <v>235500</v>
      </c>
      <c r="M79" s="3" t="s">
        <v>416</v>
      </c>
      <c r="N79" s="3" t="str">
        <f>IF(COUNTIF($A$2:A79,A79)&gt;1,"Si","No")</f>
        <v>No</v>
      </c>
      <c r="O79" s="3" t="str">
        <f>VLOOKUP(J79,Referencias!$A$2:$B$7,2,FALSE())</f>
        <v>Segunda</v>
      </c>
      <c r="P79" s="3" t="str">
        <f t="shared" si="4"/>
        <v>Faltante</v>
      </c>
      <c r="Q79" s="3" t="str">
        <f t="shared" si="5"/>
        <v>OK</v>
      </c>
    </row>
    <row r="80" spans="1:17" ht="15" customHeight="1" x14ac:dyDescent="0.3">
      <c r="A80" s="3" t="s">
        <v>468</v>
      </c>
      <c r="B80" s="3" t="s">
        <v>128</v>
      </c>
      <c r="C80" s="3" t="s">
        <v>469</v>
      </c>
      <c r="D80" s="3" t="s">
        <v>470</v>
      </c>
      <c r="E80" s="3" t="s">
        <v>471</v>
      </c>
      <c r="F80" s="3" t="s">
        <v>22</v>
      </c>
      <c r="G80" s="3" t="s">
        <v>84</v>
      </c>
      <c r="H80" s="3" t="s">
        <v>36</v>
      </c>
      <c r="I80" s="3" t="s">
        <v>472</v>
      </c>
      <c r="J80" s="3" t="s">
        <v>26</v>
      </c>
      <c r="K80" s="3" t="s">
        <v>27</v>
      </c>
      <c r="L80" s="4">
        <v>166600</v>
      </c>
      <c r="M80" s="3" t="s">
        <v>473</v>
      </c>
      <c r="N80" s="3" t="str">
        <f>IF(COUNTIF($A$2:A80,A80)&gt;1,"Si","No")</f>
        <v>No</v>
      </c>
      <c r="O80" s="3" t="str">
        <f>VLOOKUP(J80,Referencias!$A$2:$B$7,2,FALSE())</f>
        <v>Segunda</v>
      </c>
      <c r="P80" s="3" t="str">
        <f t="shared" si="4"/>
        <v>OK</v>
      </c>
      <c r="Q80" s="3" t="str">
        <f t="shared" si="5"/>
        <v>OK</v>
      </c>
    </row>
    <row r="81" spans="1:17" ht="15" customHeight="1" x14ac:dyDescent="0.3">
      <c r="A81" s="3" t="s">
        <v>474</v>
      </c>
      <c r="B81" s="3" t="s">
        <v>179</v>
      </c>
      <c r="C81" s="3" t="s">
        <v>475</v>
      </c>
      <c r="D81" s="3" t="s">
        <v>476</v>
      </c>
      <c r="E81" s="3" t="s">
        <v>477</v>
      </c>
      <c r="F81" s="3" t="s">
        <v>22</v>
      </c>
      <c r="G81" s="3" t="s">
        <v>53</v>
      </c>
      <c r="H81" s="3" t="s">
        <v>35</v>
      </c>
      <c r="I81" s="3" t="s">
        <v>478</v>
      </c>
      <c r="J81" s="3" t="s">
        <v>100</v>
      </c>
      <c r="K81" s="3" t="s">
        <v>27</v>
      </c>
      <c r="L81" s="4">
        <v>182600</v>
      </c>
      <c r="M81" s="3" t="s">
        <v>479</v>
      </c>
      <c r="N81" s="3" t="str">
        <f>IF(COUNTIF($A$2:A81,A81)&gt;1,"Si","No")</f>
        <v>No</v>
      </c>
      <c r="O81" s="3" t="str">
        <f>VLOOKUP(J81,Referencias!$A$2:$B$7,2,FALSE())</f>
        <v>Primera</v>
      </c>
      <c r="P81" s="3" t="str">
        <f t="shared" si="4"/>
        <v>OK</v>
      </c>
      <c r="Q81" s="3" t="str">
        <f t="shared" si="5"/>
        <v>OK</v>
      </c>
    </row>
    <row r="82" spans="1:17" ht="15" customHeight="1" x14ac:dyDescent="0.3">
      <c r="A82" s="3" t="s">
        <v>480</v>
      </c>
      <c r="B82" s="3" t="s">
        <v>199</v>
      </c>
      <c r="C82" s="3" t="s">
        <v>481</v>
      </c>
      <c r="D82" s="3" t="s">
        <v>482</v>
      </c>
      <c r="E82" s="3" t="s">
        <v>483</v>
      </c>
      <c r="F82" s="3" t="s">
        <v>22</v>
      </c>
      <c r="G82" s="3" t="s">
        <v>138</v>
      </c>
      <c r="H82" s="3" t="s">
        <v>35</v>
      </c>
      <c r="I82" s="3" t="s">
        <v>408</v>
      </c>
      <c r="J82" s="3" t="s">
        <v>47</v>
      </c>
      <c r="K82" s="3" t="s">
        <v>70</v>
      </c>
      <c r="L82" s="4">
        <v>268000</v>
      </c>
      <c r="M82" s="3" t="s">
        <v>484</v>
      </c>
      <c r="N82" s="3" t="str">
        <f>IF(COUNTIF($A$2:A82,A82)&gt;1,"Si","No")</f>
        <v>No</v>
      </c>
      <c r="O82" s="3" t="str">
        <f>VLOOKUP(J82,Referencias!$A$2:$B$7,2,FALSE())</f>
        <v>Primera</v>
      </c>
      <c r="P82" s="3" t="str">
        <f t="shared" si="4"/>
        <v>OK</v>
      </c>
      <c r="Q82" s="3" t="str">
        <f t="shared" si="5"/>
        <v>OK</v>
      </c>
    </row>
    <row r="83" spans="1:17" ht="15" customHeight="1" x14ac:dyDescent="0.3">
      <c r="A83" s="3" t="s">
        <v>485</v>
      </c>
      <c r="B83" s="3" t="s">
        <v>217</v>
      </c>
      <c r="C83" s="3" t="s">
        <v>486</v>
      </c>
      <c r="D83" s="3" t="s">
        <v>487</v>
      </c>
      <c r="E83" s="3"/>
      <c r="F83" s="3" t="s">
        <v>22</v>
      </c>
      <c r="G83" s="3" t="s">
        <v>23</v>
      </c>
      <c r="H83" s="3" t="s">
        <v>84</v>
      </c>
      <c r="I83" s="3" t="s">
        <v>488</v>
      </c>
      <c r="J83" s="3" t="s">
        <v>47</v>
      </c>
      <c r="K83" s="3" t="s">
        <v>56</v>
      </c>
      <c r="L83" s="4">
        <v>68600</v>
      </c>
      <c r="M83" s="3" t="s">
        <v>170</v>
      </c>
      <c r="N83" s="3" t="str">
        <f>IF(COUNTIF($A$2:A83,A83)&gt;1,"Si","No")</f>
        <v>No</v>
      </c>
      <c r="O83" s="3" t="str">
        <f>VLOOKUP(J83,Referencias!$A$2:$B$7,2,FALSE())</f>
        <v>Primera</v>
      </c>
      <c r="P83" s="3" t="str">
        <f t="shared" si="4"/>
        <v>OK</v>
      </c>
      <c r="Q83" s="3" t="str">
        <f t="shared" si="5"/>
        <v>OK</v>
      </c>
    </row>
    <row r="84" spans="1:17" ht="15" customHeight="1" x14ac:dyDescent="0.3">
      <c r="A84" s="3" t="s">
        <v>489</v>
      </c>
      <c r="B84" s="3" t="s">
        <v>490</v>
      </c>
      <c r="C84" s="3" t="s">
        <v>351</v>
      </c>
      <c r="D84" s="3" t="s">
        <v>491</v>
      </c>
      <c r="E84" s="3"/>
      <c r="F84" s="3" t="s">
        <v>22</v>
      </c>
      <c r="G84" s="3" t="s">
        <v>138</v>
      </c>
      <c r="H84" s="3" t="s">
        <v>45</v>
      </c>
      <c r="I84" s="3" t="s">
        <v>190</v>
      </c>
      <c r="J84" s="3" t="s">
        <v>47</v>
      </c>
      <c r="K84" s="3" t="s">
        <v>27</v>
      </c>
      <c r="L84" s="4">
        <v>82700</v>
      </c>
      <c r="M84" s="3" t="s">
        <v>370</v>
      </c>
      <c r="N84" s="3" t="str">
        <f>IF(COUNTIF($A$2:A84,A84)&gt;1,"Si","No")</f>
        <v>No</v>
      </c>
      <c r="O84" s="3" t="str">
        <f>VLOOKUP(J84,Referencias!$A$2:$B$7,2,FALSE())</f>
        <v>Primera</v>
      </c>
      <c r="P84" s="3" t="str">
        <f t="shared" si="4"/>
        <v>OK</v>
      </c>
      <c r="Q84" s="3" t="str">
        <f t="shared" si="5"/>
        <v>OK</v>
      </c>
    </row>
    <row r="85" spans="1:17" ht="15" customHeight="1" x14ac:dyDescent="0.3">
      <c r="A85" s="3" t="s">
        <v>492</v>
      </c>
      <c r="B85" s="3" t="s">
        <v>464</v>
      </c>
      <c r="C85" s="3" t="s">
        <v>493</v>
      </c>
      <c r="D85" s="3" t="s">
        <v>494</v>
      </c>
      <c r="E85" s="3"/>
      <c r="F85" s="3" t="s">
        <v>22</v>
      </c>
      <c r="G85" s="3" t="s">
        <v>36</v>
      </c>
      <c r="H85" s="3" t="s">
        <v>23</v>
      </c>
      <c r="I85" s="3" t="s">
        <v>375</v>
      </c>
      <c r="J85" s="3" t="s">
        <v>47</v>
      </c>
      <c r="K85" s="3" t="s">
        <v>70</v>
      </c>
      <c r="L85" s="4">
        <v>242400</v>
      </c>
      <c r="M85" s="3" t="s">
        <v>473</v>
      </c>
      <c r="N85" s="3" t="str">
        <f>IF(COUNTIF($A$2:A85,A85)&gt;1,"Si","No")</f>
        <v>No</v>
      </c>
      <c r="O85" s="3" t="str">
        <f>VLOOKUP(J85,Referencias!$A$2:$B$7,2,FALSE())</f>
        <v>Primera</v>
      </c>
      <c r="P85" s="3" t="str">
        <f t="shared" si="4"/>
        <v>OK</v>
      </c>
      <c r="Q85" s="3" t="str">
        <f t="shared" si="5"/>
        <v>OK</v>
      </c>
    </row>
    <row r="86" spans="1:17" ht="15" customHeight="1" x14ac:dyDescent="0.3">
      <c r="A86" s="3" t="s">
        <v>495</v>
      </c>
      <c r="B86" s="3" t="s">
        <v>281</v>
      </c>
      <c r="C86" s="3" t="s">
        <v>193</v>
      </c>
      <c r="D86" s="3" t="s">
        <v>496</v>
      </c>
      <c r="E86" s="3" t="s">
        <v>497</v>
      </c>
      <c r="F86" s="3" t="s">
        <v>34</v>
      </c>
      <c r="G86" s="3" t="s">
        <v>23</v>
      </c>
      <c r="H86" s="3" t="s">
        <v>84</v>
      </c>
      <c r="I86" s="3" t="s">
        <v>354</v>
      </c>
      <c r="J86" s="3" t="s">
        <v>100</v>
      </c>
      <c r="K86" s="3" t="s">
        <v>27</v>
      </c>
      <c r="L86" s="4">
        <v>83100</v>
      </c>
      <c r="M86" s="3" t="s">
        <v>498</v>
      </c>
      <c r="N86" s="3" t="str">
        <f>IF(COUNTIF($A$2:A86,A86)&gt;1,"Si","No")</f>
        <v>No</v>
      </c>
      <c r="O86" s="3" t="str">
        <f>VLOOKUP(J86,Referencias!$A$2:$B$7,2,FALSE())</f>
        <v>Primera</v>
      </c>
      <c r="P86" s="3" t="str">
        <f t="shared" si="4"/>
        <v>OK</v>
      </c>
      <c r="Q86" s="3" t="str">
        <f t="shared" si="5"/>
        <v>OK</v>
      </c>
    </row>
    <row r="87" spans="1:17" ht="15" customHeight="1" x14ac:dyDescent="0.3">
      <c r="A87" s="3" t="s">
        <v>499</v>
      </c>
      <c r="B87" s="3" t="s">
        <v>308</v>
      </c>
      <c r="C87" s="3" t="s">
        <v>500</v>
      </c>
      <c r="D87" s="3" t="s">
        <v>501</v>
      </c>
      <c r="E87" s="3" t="s">
        <v>502</v>
      </c>
      <c r="F87" s="3" t="s">
        <v>34</v>
      </c>
      <c r="G87" s="3" t="s">
        <v>24</v>
      </c>
      <c r="H87" s="3" t="s">
        <v>45</v>
      </c>
      <c r="I87" s="3" t="s">
        <v>126</v>
      </c>
      <c r="J87" s="3" t="s">
        <v>26</v>
      </c>
      <c r="K87" s="3" t="s">
        <v>27</v>
      </c>
      <c r="L87" s="4">
        <v>191100</v>
      </c>
      <c r="M87" s="3" t="s">
        <v>503</v>
      </c>
      <c r="N87" s="3" t="str">
        <f>IF(COUNTIF($A$2:A87,A87)&gt;1,"Si","No")</f>
        <v>No</v>
      </c>
      <c r="O87" s="3" t="str">
        <f>VLOOKUP(J87,Referencias!$A$2:$B$7,2,FALSE())</f>
        <v>Segunda</v>
      </c>
      <c r="P87" s="3" t="str">
        <f t="shared" si="4"/>
        <v>OK</v>
      </c>
      <c r="Q87" s="3" t="str">
        <f t="shared" si="5"/>
        <v>OK</v>
      </c>
    </row>
    <row r="88" spans="1:17" ht="15" customHeight="1" x14ac:dyDescent="0.3">
      <c r="A88" s="3" t="s">
        <v>504</v>
      </c>
      <c r="B88" s="3" t="s">
        <v>18</v>
      </c>
      <c r="C88" s="3" t="s">
        <v>505</v>
      </c>
      <c r="D88" s="3" t="s">
        <v>506</v>
      </c>
      <c r="E88" s="3"/>
      <c r="F88" s="3" t="s">
        <v>34</v>
      </c>
      <c r="G88" s="3" t="s">
        <v>44</v>
      </c>
      <c r="H88" s="3" t="s">
        <v>138</v>
      </c>
      <c r="I88" s="3" t="s">
        <v>507</v>
      </c>
      <c r="J88" s="3" t="s">
        <v>100</v>
      </c>
      <c r="K88" s="3" t="s">
        <v>27</v>
      </c>
      <c r="L88" s="4">
        <v>222500</v>
      </c>
      <c r="M88" s="3" t="s">
        <v>341</v>
      </c>
      <c r="N88" s="3" t="str">
        <f>IF(COUNTIF($A$2:A88,A88)&gt;1,"Si","No")</f>
        <v>No</v>
      </c>
      <c r="O88" s="3" t="str">
        <f>VLOOKUP(J88,Referencias!$A$2:$B$7,2,FALSE())</f>
        <v>Primera</v>
      </c>
      <c r="P88" s="3" t="str">
        <f t="shared" si="4"/>
        <v>OK</v>
      </c>
      <c r="Q88" s="3" t="str">
        <f t="shared" si="5"/>
        <v>OK</v>
      </c>
    </row>
    <row r="89" spans="1:17" ht="15" customHeight="1" x14ac:dyDescent="0.3">
      <c r="A89" s="3" t="s">
        <v>508</v>
      </c>
      <c r="B89" s="3" t="s">
        <v>199</v>
      </c>
      <c r="C89" s="3" t="s">
        <v>200</v>
      </c>
      <c r="D89" s="3" t="s">
        <v>201</v>
      </c>
      <c r="E89" s="3" t="s">
        <v>509</v>
      </c>
      <c r="F89" s="3" t="s">
        <v>22</v>
      </c>
      <c r="G89" s="3" t="s">
        <v>53</v>
      </c>
      <c r="H89" s="3" t="s">
        <v>84</v>
      </c>
      <c r="I89" s="3" t="s">
        <v>305</v>
      </c>
      <c r="J89" s="3" t="s">
        <v>47</v>
      </c>
      <c r="K89" s="3" t="s">
        <v>27</v>
      </c>
      <c r="L89" s="4">
        <v>239700</v>
      </c>
      <c r="M89" s="3" t="s">
        <v>510</v>
      </c>
      <c r="N89" s="3" t="str">
        <f>IF(COUNTIF($A$2:A89,A89)&gt;1,"Si","No")</f>
        <v>No</v>
      </c>
      <c r="O89" s="3" t="str">
        <f>VLOOKUP(J89,Referencias!$A$2:$B$7,2,FALSE())</f>
        <v>Primera</v>
      </c>
      <c r="P89" s="3" t="str">
        <f t="shared" si="4"/>
        <v>OK</v>
      </c>
      <c r="Q89" s="3" t="str">
        <f t="shared" si="5"/>
        <v>OK</v>
      </c>
    </row>
    <row r="90" spans="1:17" ht="15" customHeight="1" x14ac:dyDescent="0.3">
      <c r="A90" s="3" t="s">
        <v>511</v>
      </c>
      <c r="B90" s="3" t="s">
        <v>512</v>
      </c>
      <c r="C90" s="3" t="s">
        <v>513</v>
      </c>
      <c r="D90" s="3" t="s">
        <v>514</v>
      </c>
      <c r="E90" s="3" t="s">
        <v>515</v>
      </c>
      <c r="F90" s="3" t="s">
        <v>22</v>
      </c>
      <c r="G90" s="3" t="s">
        <v>35</v>
      </c>
      <c r="H90" s="3" t="s">
        <v>45</v>
      </c>
      <c r="I90" s="3" t="s">
        <v>46</v>
      </c>
      <c r="J90" s="3" t="s">
        <v>100</v>
      </c>
      <c r="K90" s="3" t="s">
        <v>27</v>
      </c>
      <c r="L90" s="4">
        <v>129200</v>
      </c>
      <c r="M90" s="3" t="s">
        <v>516</v>
      </c>
      <c r="N90" s="3" t="str">
        <f>IF(COUNTIF($A$2:A90,A90)&gt;1,"Si","No")</f>
        <v>No</v>
      </c>
      <c r="O90" s="3" t="str">
        <f>VLOOKUP(J90,Referencias!$A$2:$B$7,2,FALSE())</f>
        <v>Primera</v>
      </c>
      <c r="P90" s="3" t="str">
        <f t="shared" si="4"/>
        <v>OK</v>
      </c>
      <c r="Q90" s="3" t="str">
        <f t="shared" si="5"/>
        <v>OK</v>
      </c>
    </row>
    <row r="91" spans="1:17" ht="15" customHeight="1" x14ac:dyDescent="0.3">
      <c r="A91" s="3" t="s">
        <v>517</v>
      </c>
      <c r="B91" s="3" t="s">
        <v>382</v>
      </c>
      <c r="C91" s="3" t="s">
        <v>518</v>
      </c>
      <c r="D91" s="3"/>
      <c r="E91" s="3" t="s">
        <v>519</v>
      </c>
      <c r="F91" s="3" t="s">
        <v>22</v>
      </c>
      <c r="G91" s="3" t="s">
        <v>35</v>
      </c>
      <c r="H91" s="3" t="s">
        <v>44</v>
      </c>
      <c r="I91" s="3" t="s">
        <v>99</v>
      </c>
      <c r="J91" s="3" t="s">
        <v>47</v>
      </c>
      <c r="K91" s="3" t="s">
        <v>56</v>
      </c>
      <c r="L91" s="4">
        <v>220900</v>
      </c>
      <c r="M91" s="3" t="s">
        <v>321</v>
      </c>
      <c r="N91" s="3" t="str">
        <f>IF(COUNTIF($A$2:A91,A91)&gt;1,"Si","No")</f>
        <v>No</v>
      </c>
      <c r="O91" s="3" t="str">
        <f>VLOOKUP(J91,Referencias!$A$2:$B$7,2,FALSE())</f>
        <v>Primera</v>
      </c>
      <c r="P91" s="3" t="str">
        <f t="shared" si="4"/>
        <v>Faltante</v>
      </c>
      <c r="Q91" s="3" t="str">
        <f t="shared" si="5"/>
        <v>OK</v>
      </c>
    </row>
    <row r="92" spans="1:17" ht="15" customHeight="1" x14ac:dyDescent="0.3">
      <c r="A92" s="3" t="s">
        <v>520</v>
      </c>
      <c r="B92" s="3" t="s">
        <v>323</v>
      </c>
      <c r="C92" s="3" t="s">
        <v>224</v>
      </c>
      <c r="D92" s="3" t="s">
        <v>521</v>
      </c>
      <c r="E92" s="3" t="s">
        <v>522</v>
      </c>
      <c r="F92" s="3" t="s">
        <v>22</v>
      </c>
      <c r="G92" s="3" t="s">
        <v>91</v>
      </c>
      <c r="H92" s="3" t="s">
        <v>138</v>
      </c>
      <c r="I92" s="3" t="s">
        <v>523</v>
      </c>
      <c r="J92" s="3" t="s">
        <v>26</v>
      </c>
      <c r="K92" s="3" t="s">
        <v>27</v>
      </c>
      <c r="L92" s="4">
        <v>262800</v>
      </c>
      <c r="M92" s="3" t="s">
        <v>38</v>
      </c>
      <c r="N92" s="3" t="str">
        <f>IF(COUNTIF($A$2:A92,A92)&gt;1,"Si","No")</f>
        <v>No</v>
      </c>
      <c r="O92" s="3" t="str">
        <f>VLOOKUP(J92,Referencias!$A$2:$B$7,2,FALSE())</f>
        <v>Segunda</v>
      </c>
      <c r="P92" s="3" t="str">
        <f t="shared" si="4"/>
        <v>OK</v>
      </c>
      <c r="Q92" s="3" t="str">
        <f t="shared" si="5"/>
        <v>OK</v>
      </c>
    </row>
    <row r="93" spans="1:17" ht="15" customHeight="1" x14ac:dyDescent="0.3">
      <c r="A93" s="3" t="s">
        <v>524</v>
      </c>
      <c r="B93" s="3" t="s">
        <v>393</v>
      </c>
      <c r="C93" s="3" t="s">
        <v>500</v>
      </c>
      <c r="D93" s="3" t="s">
        <v>525</v>
      </c>
      <c r="E93" s="3" t="s">
        <v>526</v>
      </c>
      <c r="F93" s="3" t="s">
        <v>22</v>
      </c>
      <c r="G93" s="3" t="s">
        <v>91</v>
      </c>
      <c r="H93" s="3" t="s">
        <v>53</v>
      </c>
      <c r="I93" s="3" t="s">
        <v>111</v>
      </c>
      <c r="J93" s="3" t="s">
        <v>55</v>
      </c>
      <c r="K93" s="3" t="s">
        <v>27</v>
      </c>
      <c r="L93" s="4">
        <v>54200</v>
      </c>
      <c r="M93" s="3" t="s">
        <v>527</v>
      </c>
      <c r="N93" s="3" t="str">
        <f>IF(COUNTIF($A$2:A93,A93)&gt;1,"Si","No")</f>
        <v>No</v>
      </c>
      <c r="O93" s="3" t="str">
        <f>VLOOKUP(J93,Referencias!$A$2:$B$7,2,FALSE())</f>
        <v>Segunda</v>
      </c>
      <c r="P93" s="3" t="str">
        <f t="shared" si="4"/>
        <v>OK</v>
      </c>
      <c r="Q93" s="3" t="str">
        <f t="shared" si="5"/>
        <v>OK</v>
      </c>
    </row>
    <row r="94" spans="1:17" ht="15" customHeight="1" x14ac:dyDescent="0.3">
      <c r="A94" s="3" t="s">
        <v>528</v>
      </c>
      <c r="B94" s="3" t="s">
        <v>329</v>
      </c>
      <c r="C94" s="3" t="s">
        <v>529</v>
      </c>
      <c r="D94" s="3" t="s">
        <v>530</v>
      </c>
      <c r="E94" s="3" t="s">
        <v>531</v>
      </c>
      <c r="F94" s="3" t="s">
        <v>34</v>
      </c>
      <c r="G94" s="3" t="s">
        <v>24</v>
      </c>
      <c r="H94" s="3" t="s">
        <v>138</v>
      </c>
      <c r="I94" s="3" t="s">
        <v>48</v>
      </c>
      <c r="J94" s="3" t="s">
        <v>78</v>
      </c>
      <c r="K94" s="3" t="s">
        <v>70</v>
      </c>
      <c r="L94" s="4">
        <v>127300</v>
      </c>
      <c r="M94" s="3" t="s">
        <v>532</v>
      </c>
      <c r="N94" s="3" t="str">
        <f>IF(COUNTIF($A$2:A94,A94)&gt;1,"Si","No")</f>
        <v>No</v>
      </c>
      <c r="O94" s="3" t="str">
        <f>VLOOKUP(J94,Referencias!$A$2:$B$7,2,FALSE())</f>
        <v>Segunda</v>
      </c>
      <c r="P94" s="3" t="str">
        <f t="shared" si="4"/>
        <v>OK</v>
      </c>
      <c r="Q94" s="3" t="str">
        <f t="shared" si="5"/>
        <v>OK</v>
      </c>
    </row>
    <row r="95" spans="1:17" ht="15" customHeight="1" x14ac:dyDescent="0.3">
      <c r="A95" s="3" t="s">
        <v>533</v>
      </c>
      <c r="B95" s="3" t="s">
        <v>425</v>
      </c>
      <c r="C95" s="3" t="s">
        <v>31</v>
      </c>
      <c r="D95" s="3"/>
      <c r="E95" s="3" t="s">
        <v>534</v>
      </c>
      <c r="F95" s="3" t="s">
        <v>22</v>
      </c>
      <c r="G95" s="3" t="s">
        <v>53</v>
      </c>
      <c r="H95" s="3" t="s">
        <v>91</v>
      </c>
      <c r="I95" s="3" t="s">
        <v>535</v>
      </c>
      <c r="J95" s="3" t="s">
        <v>55</v>
      </c>
      <c r="K95" s="3" t="s">
        <v>27</v>
      </c>
      <c r="L95" s="4">
        <v>159300</v>
      </c>
      <c r="M95" s="3" t="s">
        <v>445</v>
      </c>
      <c r="N95" s="3" t="str">
        <f>IF(COUNTIF($A$2:A95,A95)&gt;1,"Si","No")</f>
        <v>No</v>
      </c>
      <c r="O95" s="3" t="str">
        <f>VLOOKUP(J95,Referencias!$A$2:$B$7,2,FALSE())</f>
        <v>Segunda</v>
      </c>
      <c r="P95" s="3" t="str">
        <f t="shared" si="4"/>
        <v>Faltante</v>
      </c>
      <c r="Q95" s="3" t="str">
        <f t="shared" si="5"/>
        <v>OK</v>
      </c>
    </row>
    <row r="96" spans="1:17" ht="15" customHeight="1" x14ac:dyDescent="0.3">
      <c r="A96" s="3" t="s">
        <v>536</v>
      </c>
      <c r="B96" s="3" t="s">
        <v>65</v>
      </c>
      <c r="C96" s="3" t="s">
        <v>212</v>
      </c>
      <c r="D96" s="3"/>
      <c r="E96" s="3" t="s">
        <v>537</v>
      </c>
      <c r="F96" s="3" t="s">
        <v>22</v>
      </c>
      <c r="G96" s="3" t="s">
        <v>53</v>
      </c>
      <c r="H96" s="3" t="s">
        <v>36</v>
      </c>
      <c r="I96" s="3" t="s">
        <v>263</v>
      </c>
      <c r="J96" s="3" t="s">
        <v>78</v>
      </c>
      <c r="K96" s="3" t="s">
        <v>56</v>
      </c>
      <c r="L96" s="4">
        <v>317000</v>
      </c>
      <c r="M96" s="3" t="s">
        <v>160</v>
      </c>
      <c r="N96" s="3" t="str">
        <f>IF(COUNTIF($A$2:A96,A96)&gt;1,"Si","No")</f>
        <v>No</v>
      </c>
      <c r="O96" s="3" t="str">
        <f>VLOOKUP(J96,Referencias!$A$2:$B$7,2,FALSE())</f>
        <v>Segunda</v>
      </c>
      <c r="P96" s="3" t="str">
        <f t="shared" si="4"/>
        <v>Faltante</v>
      </c>
      <c r="Q96" s="3" t="str">
        <f t="shared" si="5"/>
        <v>OK</v>
      </c>
    </row>
    <row r="97" spans="1:17" ht="15" customHeight="1" x14ac:dyDescent="0.3">
      <c r="A97" s="3" t="s">
        <v>538</v>
      </c>
      <c r="B97" s="3" t="s">
        <v>323</v>
      </c>
      <c r="C97" s="3" t="s">
        <v>539</v>
      </c>
      <c r="D97" s="3" t="s">
        <v>540</v>
      </c>
      <c r="E97" s="3" t="s">
        <v>541</v>
      </c>
      <c r="F97" s="3" t="s">
        <v>22</v>
      </c>
      <c r="G97" s="3" t="s">
        <v>36</v>
      </c>
      <c r="H97" s="3" t="s">
        <v>45</v>
      </c>
      <c r="I97" s="3" t="s">
        <v>542</v>
      </c>
      <c r="J97" s="3" t="s">
        <v>47</v>
      </c>
      <c r="K97" s="3" t="s">
        <v>27</v>
      </c>
      <c r="L97" s="4">
        <v>147300</v>
      </c>
      <c r="M97" s="3" t="s">
        <v>57</v>
      </c>
      <c r="N97" s="3" t="str">
        <f>IF(COUNTIF($A$2:A97,A97)&gt;1,"Si","No")</f>
        <v>No</v>
      </c>
      <c r="O97" s="3" t="str">
        <f>VLOOKUP(J97,Referencias!$A$2:$B$7,2,FALSE())</f>
        <v>Primera</v>
      </c>
      <c r="P97" s="3" t="str">
        <f t="shared" si="4"/>
        <v>OK</v>
      </c>
      <c r="Q97" s="3" t="str">
        <f t="shared" si="5"/>
        <v>OK</v>
      </c>
    </row>
    <row r="98" spans="1:17" ht="15" customHeight="1" x14ac:dyDescent="0.3">
      <c r="A98" s="3" t="s">
        <v>543</v>
      </c>
      <c r="B98" s="3" t="s">
        <v>544</v>
      </c>
      <c r="C98" s="3" t="s">
        <v>545</v>
      </c>
      <c r="D98" s="3" t="s">
        <v>546</v>
      </c>
      <c r="E98" s="3" t="s">
        <v>547</v>
      </c>
      <c r="F98" s="3" t="s">
        <v>22</v>
      </c>
      <c r="G98" s="3" t="s">
        <v>45</v>
      </c>
      <c r="H98" s="3" t="s">
        <v>36</v>
      </c>
      <c r="I98" s="3" t="s">
        <v>548</v>
      </c>
      <c r="J98" s="3" t="s">
        <v>78</v>
      </c>
      <c r="K98" s="3" t="s">
        <v>27</v>
      </c>
      <c r="L98" s="4">
        <v>318500</v>
      </c>
      <c r="M98" s="3" t="s">
        <v>63</v>
      </c>
      <c r="N98" s="3" t="str">
        <f>IF(COUNTIF($A$2:A98,A98)&gt;1,"Si","No")</f>
        <v>No</v>
      </c>
      <c r="O98" s="3" t="str">
        <f>VLOOKUP(J98,Referencias!$A$2:$B$7,2,FALSE())</f>
        <v>Segunda</v>
      </c>
      <c r="P98" s="3" t="str">
        <f t="shared" ref="P98:P129" si="6">IF(D98="","Faltante","OK")</f>
        <v>OK</v>
      </c>
      <c r="Q98" s="3" t="str">
        <f t="shared" ref="Q98:Q129" si="7">IF(L98="","Faltante","OK")</f>
        <v>OK</v>
      </c>
    </row>
    <row r="99" spans="1:17" ht="15" customHeight="1" x14ac:dyDescent="0.3">
      <c r="A99" s="3" t="s">
        <v>549</v>
      </c>
      <c r="B99" s="3" t="s">
        <v>550</v>
      </c>
      <c r="C99" s="3" t="s">
        <v>551</v>
      </c>
      <c r="D99" s="3" t="s">
        <v>552</v>
      </c>
      <c r="E99" s="3" t="s">
        <v>553</v>
      </c>
      <c r="F99" s="3" t="s">
        <v>34</v>
      </c>
      <c r="G99" s="3" t="s">
        <v>45</v>
      </c>
      <c r="H99" s="3" t="s">
        <v>53</v>
      </c>
      <c r="I99" s="3" t="s">
        <v>391</v>
      </c>
      <c r="J99" s="3" t="s">
        <v>55</v>
      </c>
      <c r="K99" s="3" t="s">
        <v>56</v>
      </c>
      <c r="L99" s="4">
        <v>103000</v>
      </c>
      <c r="M99" s="3" t="s">
        <v>554</v>
      </c>
      <c r="N99" s="3" t="str">
        <f>IF(COUNTIF($A$2:A99,A99)&gt;1,"Si","No")</f>
        <v>No</v>
      </c>
      <c r="O99" s="3" t="str">
        <f>VLOOKUP(J99,Referencias!$A$2:$B$7,2,FALSE())</f>
        <v>Segunda</v>
      </c>
      <c r="P99" s="3" t="str">
        <f t="shared" si="6"/>
        <v>OK</v>
      </c>
      <c r="Q99" s="3" t="str">
        <f t="shared" si="7"/>
        <v>OK</v>
      </c>
    </row>
    <row r="100" spans="1:17" ht="15" customHeight="1" x14ac:dyDescent="0.3">
      <c r="A100" s="3" t="s">
        <v>555</v>
      </c>
      <c r="B100" s="3" t="s">
        <v>458</v>
      </c>
      <c r="C100" s="3" t="s">
        <v>247</v>
      </c>
      <c r="D100" s="3" t="s">
        <v>556</v>
      </c>
      <c r="E100" s="3"/>
      <c r="F100" s="3" t="s">
        <v>34</v>
      </c>
      <c r="G100" s="3" t="s">
        <v>36</v>
      </c>
      <c r="H100" s="3" t="s">
        <v>35</v>
      </c>
      <c r="I100" s="3" t="s">
        <v>391</v>
      </c>
      <c r="J100" s="3" t="s">
        <v>55</v>
      </c>
      <c r="K100" s="3" t="s">
        <v>27</v>
      </c>
      <c r="L100" s="4">
        <v>250500</v>
      </c>
      <c r="M100" s="3" t="s">
        <v>557</v>
      </c>
      <c r="N100" s="3" t="str">
        <f>IF(COUNTIF($A$2:A100,A100)&gt;1,"Si","No")</f>
        <v>No</v>
      </c>
      <c r="O100" s="3" t="str">
        <f>VLOOKUP(J100,Referencias!$A$2:$B$7,2,FALSE())</f>
        <v>Segunda</v>
      </c>
      <c r="P100" s="3" t="str">
        <f t="shared" si="6"/>
        <v>OK</v>
      </c>
      <c r="Q100" s="3" t="str">
        <f t="shared" si="7"/>
        <v>OK</v>
      </c>
    </row>
    <row r="101" spans="1:17" ht="15" customHeight="1" x14ac:dyDescent="0.3">
      <c r="A101" s="3" t="s">
        <v>558</v>
      </c>
      <c r="B101" s="3" t="s">
        <v>186</v>
      </c>
      <c r="C101" s="3" t="s">
        <v>559</v>
      </c>
      <c r="D101" s="3" t="s">
        <v>560</v>
      </c>
      <c r="E101" s="3" t="s">
        <v>561</v>
      </c>
      <c r="F101" s="3" t="s">
        <v>22</v>
      </c>
      <c r="G101" s="3" t="s">
        <v>91</v>
      </c>
      <c r="H101" s="3" t="s">
        <v>44</v>
      </c>
      <c r="I101" s="3" t="s">
        <v>562</v>
      </c>
      <c r="J101" s="3" t="s">
        <v>78</v>
      </c>
      <c r="K101" s="3" t="s">
        <v>27</v>
      </c>
      <c r="L101" s="4">
        <v>68100</v>
      </c>
      <c r="M101" s="3" t="s">
        <v>563</v>
      </c>
      <c r="N101" s="3" t="str">
        <f>IF(COUNTIF($A$2:A101,A101)&gt;1,"Si","No")</f>
        <v>No</v>
      </c>
      <c r="O101" s="3" t="str">
        <f>VLOOKUP(J101,Referencias!$A$2:$B$7,2,FALSE())</f>
        <v>Segunda</v>
      </c>
      <c r="P101" s="3" t="str">
        <f t="shared" si="6"/>
        <v>OK</v>
      </c>
      <c r="Q101" s="3" t="str">
        <f t="shared" si="7"/>
        <v>OK</v>
      </c>
    </row>
    <row r="102" spans="1:17" ht="15" customHeight="1" x14ac:dyDescent="0.3">
      <c r="A102" s="3" t="s">
        <v>533</v>
      </c>
      <c r="B102" s="3" t="s">
        <v>425</v>
      </c>
      <c r="C102" s="3" t="s">
        <v>31</v>
      </c>
      <c r="D102" s="3"/>
      <c r="E102" s="3" t="s">
        <v>534</v>
      </c>
      <c r="F102" s="3" t="s">
        <v>22</v>
      </c>
      <c r="G102" s="3" t="s">
        <v>53</v>
      </c>
      <c r="H102" s="3" t="s">
        <v>91</v>
      </c>
      <c r="I102" s="3" t="s">
        <v>535</v>
      </c>
      <c r="J102" s="3" t="s">
        <v>55</v>
      </c>
      <c r="K102" s="3" t="s">
        <v>27</v>
      </c>
      <c r="L102" s="4">
        <v>159300</v>
      </c>
      <c r="M102" s="3" t="s">
        <v>445</v>
      </c>
      <c r="N102" s="3" t="str">
        <f>IF(COUNTIF($A$2:A102,A102)&gt;1,"Si","No")</f>
        <v>Si</v>
      </c>
      <c r="O102" s="3" t="str">
        <f>VLOOKUP(J102,Referencias!$A$2:$B$7,2,FALSE())</f>
        <v>Segunda</v>
      </c>
      <c r="P102" s="3" t="str">
        <f t="shared" si="6"/>
        <v>Faltante</v>
      </c>
      <c r="Q102" s="3" t="str">
        <f t="shared" si="7"/>
        <v>OK</v>
      </c>
    </row>
    <row r="103" spans="1:17" ht="15" customHeight="1" x14ac:dyDescent="0.3">
      <c r="A103" s="3" t="s">
        <v>564</v>
      </c>
      <c r="B103" s="3" t="s">
        <v>234</v>
      </c>
      <c r="C103" s="3" t="s">
        <v>565</v>
      </c>
      <c r="D103" s="3"/>
      <c r="E103" s="3" t="s">
        <v>566</v>
      </c>
      <c r="F103" s="3" t="s">
        <v>22</v>
      </c>
      <c r="G103" s="3" t="s">
        <v>36</v>
      </c>
      <c r="H103" s="3" t="s">
        <v>91</v>
      </c>
      <c r="I103" s="3" t="s">
        <v>467</v>
      </c>
      <c r="J103" s="3" t="s">
        <v>55</v>
      </c>
      <c r="K103" s="3" t="s">
        <v>70</v>
      </c>
      <c r="L103" s="4">
        <v>148600</v>
      </c>
      <c r="M103" s="3" t="s">
        <v>364</v>
      </c>
      <c r="N103" s="3" t="str">
        <f>IF(COUNTIF($A$2:A103,A103)&gt;1,"Si","No")</f>
        <v>No</v>
      </c>
      <c r="O103" s="3" t="str">
        <f>VLOOKUP(J103,Referencias!$A$2:$B$7,2,FALSE())</f>
        <v>Segunda</v>
      </c>
      <c r="P103" s="3" t="str">
        <f t="shared" si="6"/>
        <v>Faltante</v>
      </c>
      <c r="Q103" s="3" t="str">
        <f t="shared" si="7"/>
        <v>OK</v>
      </c>
    </row>
    <row r="104" spans="1:17" ht="15" customHeight="1" x14ac:dyDescent="0.3">
      <c r="A104" s="3" t="s">
        <v>567</v>
      </c>
      <c r="B104" s="3" t="s">
        <v>73</v>
      </c>
      <c r="C104" s="3" t="s">
        <v>486</v>
      </c>
      <c r="D104" s="3" t="s">
        <v>568</v>
      </c>
      <c r="E104" s="3" t="s">
        <v>569</v>
      </c>
      <c r="F104" s="3" t="s">
        <v>34</v>
      </c>
      <c r="G104" s="3" t="s">
        <v>138</v>
      </c>
      <c r="H104" s="3" t="s">
        <v>35</v>
      </c>
      <c r="I104" s="3" t="s">
        <v>570</v>
      </c>
      <c r="J104" s="3" t="s">
        <v>26</v>
      </c>
      <c r="K104" s="3" t="s">
        <v>27</v>
      </c>
      <c r="L104" s="4">
        <v>276300</v>
      </c>
      <c r="M104" s="3" t="s">
        <v>341</v>
      </c>
      <c r="N104" s="3" t="str">
        <f>IF(COUNTIF($A$2:A104,A104)&gt;1,"Si","No")</f>
        <v>No</v>
      </c>
      <c r="O104" s="3" t="str">
        <f>VLOOKUP(J104,Referencias!$A$2:$B$7,2,FALSE())</f>
        <v>Segunda</v>
      </c>
      <c r="P104" s="3" t="str">
        <f t="shared" si="6"/>
        <v>OK</v>
      </c>
      <c r="Q104" s="3" t="str">
        <f t="shared" si="7"/>
        <v>OK</v>
      </c>
    </row>
    <row r="105" spans="1:17" ht="15" customHeight="1" x14ac:dyDescent="0.3">
      <c r="A105" s="3" t="s">
        <v>571</v>
      </c>
      <c r="B105" s="3" t="s">
        <v>404</v>
      </c>
      <c r="C105" s="3" t="s">
        <v>81</v>
      </c>
      <c r="D105" s="3" t="s">
        <v>572</v>
      </c>
      <c r="E105" s="3" t="s">
        <v>573</v>
      </c>
      <c r="F105" s="3" t="s">
        <v>22</v>
      </c>
      <c r="G105" s="3" t="s">
        <v>138</v>
      </c>
      <c r="H105" s="3" t="s">
        <v>91</v>
      </c>
      <c r="I105" s="3" t="s">
        <v>171</v>
      </c>
      <c r="J105" s="3" t="s">
        <v>47</v>
      </c>
      <c r="K105" s="3" t="s">
        <v>70</v>
      </c>
      <c r="L105" s="4">
        <v>287400</v>
      </c>
      <c r="M105" s="3" t="s">
        <v>574</v>
      </c>
      <c r="N105" s="3" t="str">
        <f>IF(COUNTIF($A$2:A105,A105)&gt;1,"Si","No")</f>
        <v>No</v>
      </c>
      <c r="O105" s="3" t="str">
        <f>VLOOKUP(J105,Referencias!$A$2:$B$7,2,FALSE())</f>
        <v>Primera</v>
      </c>
      <c r="P105" s="3" t="str">
        <f t="shared" si="6"/>
        <v>OK</v>
      </c>
      <c r="Q105" s="3" t="str">
        <f t="shared" si="7"/>
        <v>OK</v>
      </c>
    </row>
    <row r="106" spans="1:17" ht="15" customHeight="1" x14ac:dyDescent="0.3">
      <c r="A106" s="3" t="s">
        <v>575</v>
      </c>
      <c r="B106" s="3" t="s">
        <v>544</v>
      </c>
      <c r="C106" s="3" t="s">
        <v>576</v>
      </c>
      <c r="D106" s="3" t="s">
        <v>577</v>
      </c>
      <c r="E106" s="3" t="s">
        <v>578</v>
      </c>
      <c r="F106" s="3" t="s">
        <v>22</v>
      </c>
      <c r="G106" s="3" t="s">
        <v>24</v>
      </c>
      <c r="H106" s="3" t="s">
        <v>45</v>
      </c>
      <c r="I106" s="3" t="s">
        <v>579</v>
      </c>
      <c r="J106" s="3" t="s">
        <v>47</v>
      </c>
      <c r="K106" s="3" t="s">
        <v>27</v>
      </c>
      <c r="L106" s="4">
        <v>84000</v>
      </c>
      <c r="M106" s="3" t="s">
        <v>299</v>
      </c>
      <c r="N106" s="3" t="str">
        <f>IF(COUNTIF($A$2:A106,A106)&gt;1,"Si","No")</f>
        <v>No</v>
      </c>
      <c r="O106" s="3" t="str">
        <f>VLOOKUP(J106,Referencias!$A$2:$B$7,2,FALSE())</f>
        <v>Primera</v>
      </c>
      <c r="P106" s="3" t="str">
        <f t="shared" si="6"/>
        <v>OK</v>
      </c>
      <c r="Q106" s="3" t="str">
        <f t="shared" si="7"/>
        <v>OK</v>
      </c>
    </row>
    <row r="107" spans="1:17" ht="15" customHeight="1" x14ac:dyDescent="0.3">
      <c r="A107" s="3" t="s">
        <v>580</v>
      </c>
      <c r="B107" s="3" t="s">
        <v>234</v>
      </c>
      <c r="C107" s="3" t="s">
        <v>529</v>
      </c>
      <c r="D107" s="3" t="s">
        <v>581</v>
      </c>
      <c r="E107" s="3" t="s">
        <v>582</v>
      </c>
      <c r="F107" s="3" t="s">
        <v>22</v>
      </c>
      <c r="G107" s="3" t="s">
        <v>44</v>
      </c>
      <c r="H107" s="3" t="s">
        <v>35</v>
      </c>
      <c r="I107" s="3" t="s">
        <v>583</v>
      </c>
      <c r="J107" s="3" t="s">
        <v>55</v>
      </c>
      <c r="K107" s="3" t="s">
        <v>56</v>
      </c>
      <c r="L107" s="4">
        <v>251700</v>
      </c>
      <c r="M107" s="3" t="s">
        <v>542</v>
      </c>
      <c r="N107" s="3" t="str">
        <f>IF(COUNTIF($A$2:A107,A107)&gt;1,"Si","No")</f>
        <v>No</v>
      </c>
      <c r="O107" s="3" t="str">
        <f>VLOOKUP(J107,Referencias!$A$2:$B$7,2,FALSE())</f>
        <v>Segunda</v>
      </c>
      <c r="P107" s="3" t="str">
        <f t="shared" si="6"/>
        <v>OK</v>
      </c>
      <c r="Q107" s="3" t="str">
        <f t="shared" si="7"/>
        <v>OK</v>
      </c>
    </row>
    <row r="108" spans="1:17" ht="15" customHeight="1" x14ac:dyDescent="0.3">
      <c r="A108" s="3" t="s">
        <v>584</v>
      </c>
      <c r="B108" s="3" t="s">
        <v>142</v>
      </c>
      <c r="C108" s="3" t="s">
        <v>585</v>
      </c>
      <c r="D108" s="3" t="s">
        <v>586</v>
      </c>
      <c r="E108" s="3" t="s">
        <v>587</v>
      </c>
      <c r="F108" s="3" t="s">
        <v>34</v>
      </c>
      <c r="G108" s="3" t="s">
        <v>53</v>
      </c>
      <c r="H108" s="3" t="s">
        <v>91</v>
      </c>
      <c r="I108" s="3" t="s">
        <v>232</v>
      </c>
      <c r="J108" s="3" t="s">
        <v>78</v>
      </c>
      <c r="K108" s="3" t="s">
        <v>27</v>
      </c>
      <c r="L108" s="4">
        <v>319200</v>
      </c>
      <c r="M108" s="3" t="s">
        <v>153</v>
      </c>
      <c r="N108" s="3" t="str">
        <f>IF(COUNTIF($A$2:A108,A108)&gt;1,"Si","No")</f>
        <v>No</v>
      </c>
      <c r="O108" s="3" t="str">
        <f>VLOOKUP(J108,Referencias!$A$2:$B$7,2,FALSE())</f>
        <v>Segunda</v>
      </c>
      <c r="P108" s="3" t="str">
        <f t="shared" si="6"/>
        <v>OK</v>
      </c>
      <c r="Q108" s="3" t="str">
        <f t="shared" si="7"/>
        <v>OK</v>
      </c>
    </row>
    <row r="109" spans="1:17" ht="15" customHeight="1" x14ac:dyDescent="0.3">
      <c r="A109" s="3" t="s">
        <v>588</v>
      </c>
      <c r="B109" s="3" t="s">
        <v>329</v>
      </c>
      <c r="C109" s="3" t="s">
        <v>576</v>
      </c>
      <c r="D109" s="3" t="s">
        <v>589</v>
      </c>
      <c r="E109" s="3" t="s">
        <v>590</v>
      </c>
      <c r="F109" s="3" t="s">
        <v>34</v>
      </c>
      <c r="G109" s="3" t="s">
        <v>44</v>
      </c>
      <c r="H109" s="3" t="s">
        <v>53</v>
      </c>
      <c r="I109" s="3" t="s">
        <v>591</v>
      </c>
      <c r="J109" s="3" t="s">
        <v>37</v>
      </c>
      <c r="K109" s="3" t="s">
        <v>56</v>
      </c>
      <c r="L109" s="4">
        <v>294000</v>
      </c>
      <c r="M109" s="3" t="s">
        <v>341</v>
      </c>
      <c r="N109" s="3" t="str">
        <f>IF(COUNTIF($A$2:A109,A109)&gt;1,"Si","No")</f>
        <v>No</v>
      </c>
      <c r="O109" s="3" t="str">
        <f>VLOOKUP(J109,Referencias!$A$2:$B$7,2,FALSE())</f>
        <v>Primera</v>
      </c>
      <c r="P109" s="3" t="str">
        <f t="shared" si="6"/>
        <v>OK</v>
      </c>
      <c r="Q109" s="3" t="str">
        <f t="shared" si="7"/>
        <v>OK</v>
      </c>
    </row>
    <row r="110" spans="1:17" ht="15" customHeight="1" x14ac:dyDescent="0.3">
      <c r="A110" s="3" t="s">
        <v>592</v>
      </c>
      <c r="B110" s="3" t="s">
        <v>593</v>
      </c>
      <c r="C110" s="3" t="s">
        <v>500</v>
      </c>
      <c r="D110" s="3" t="s">
        <v>594</v>
      </c>
      <c r="E110" s="3" t="s">
        <v>595</v>
      </c>
      <c r="F110" s="3" t="s">
        <v>22</v>
      </c>
      <c r="G110" s="3" t="s">
        <v>23</v>
      </c>
      <c r="H110" s="3" t="s">
        <v>53</v>
      </c>
      <c r="I110" s="3" t="s">
        <v>25</v>
      </c>
      <c r="J110" s="3" t="s">
        <v>100</v>
      </c>
      <c r="K110" s="3" t="s">
        <v>27</v>
      </c>
      <c r="L110" s="4">
        <v>314800</v>
      </c>
      <c r="M110" s="3" t="s">
        <v>596</v>
      </c>
      <c r="N110" s="3" t="str">
        <f>IF(COUNTIF($A$2:A110,A110)&gt;1,"Si","No")</f>
        <v>No</v>
      </c>
      <c r="O110" s="3" t="str">
        <f>VLOOKUP(J110,Referencias!$A$2:$B$7,2,FALSE())</f>
        <v>Primera</v>
      </c>
      <c r="P110" s="3" t="str">
        <f t="shared" si="6"/>
        <v>OK</v>
      </c>
      <c r="Q110" s="3" t="str">
        <f t="shared" si="7"/>
        <v>OK</v>
      </c>
    </row>
    <row r="111" spans="1:17" ht="15" customHeight="1" x14ac:dyDescent="0.3">
      <c r="A111" s="3" t="s">
        <v>511</v>
      </c>
      <c r="B111" s="3" t="s">
        <v>512</v>
      </c>
      <c r="C111" s="3" t="s">
        <v>513</v>
      </c>
      <c r="D111" s="3" t="s">
        <v>514</v>
      </c>
      <c r="E111" s="3" t="s">
        <v>515</v>
      </c>
      <c r="F111" s="3" t="s">
        <v>22</v>
      </c>
      <c r="G111" s="3" t="s">
        <v>35</v>
      </c>
      <c r="H111" s="3" t="s">
        <v>45</v>
      </c>
      <c r="I111" s="3" t="s">
        <v>46</v>
      </c>
      <c r="J111" s="3" t="s">
        <v>100</v>
      </c>
      <c r="K111" s="3" t="s">
        <v>27</v>
      </c>
      <c r="L111" s="4">
        <v>129200</v>
      </c>
      <c r="M111" s="3" t="s">
        <v>516</v>
      </c>
      <c r="N111" s="3" t="str">
        <f>IF(COUNTIF($A$2:A111,A111)&gt;1,"Si","No")</f>
        <v>Si</v>
      </c>
      <c r="O111" s="3" t="str">
        <f>VLOOKUP(J111,Referencias!$A$2:$B$7,2,FALSE())</f>
        <v>Primera</v>
      </c>
      <c r="P111" s="3" t="str">
        <f t="shared" si="6"/>
        <v>OK</v>
      </c>
      <c r="Q111" s="3" t="str">
        <f t="shared" si="7"/>
        <v>OK</v>
      </c>
    </row>
    <row r="112" spans="1:17" ht="15" customHeight="1" x14ac:dyDescent="0.3">
      <c r="A112" s="3" t="s">
        <v>597</v>
      </c>
      <c r="B112" s="3" t="s">
        <v>323</v>
      </c>
      <c r="C112" s="3" t="s">
        <v>200</v>
      </c>
      <c r="D112" s="3"/>
      <c r="E112" s="3" t="s">
        <v>598</v>
      </c>
      <c r="F112" s="3" t="s">
        <v>22</v>
      </c>
      <c r="G112" s="3" t="s">
        <v>23</v>
      </c>
      <c r="H112" s="3" t="s">
        <v>35</v>
      </c>
      <c r="I112" s="3" t="s">
        <v>599</v>
      </c>
      <c r="J112" s="3" t="s">
        <v>47</v>
      </c>
      <c r="K112" s="3" t="s">
        <v>70</v>
      </c>
      <c r="L112" s="4">
        <v>74300</v>
      </c>
      <c r="M112" s="3" t="s">
        <v>112</v>
      </c>
      <c r="N112" s="3" t="str">
        <f>IF(COUNTIF($A$2:A112,A112)&gt;1,"Si","No")</f>
        <v>No</v>
      </c>
      <c r="O112" s="3" t="str">
        <f>VLOOKUP(J112,Referencias!$A$2:$B$7,2,FALSE())</f>
        <v>Primera</v>
      </c>
      <c r="P112" s="3" t="str">
        <f t="shared" si="6"/>
        <v>Faltante</v>
      </c>
      <c r="Q112" s="3" t="str">
        <f t="shared" si="7"/>
        <v>OK</v>
      </c>
    </row>
    <row r="113" spans="1:17" ht="15" customHeight="1" x14ac:dyDescent="0.3">
      <c r="A113" s="3" t="s">
        <v>600</v>
      </c>
      <c r="B113" s="3" t="s">
        <v>128</v>
      </c>
      <c r="C113" s="3" t="s">
        <v>601</v>
      </c>
      <c r="D113" s="3" t="s">
        <v>602</v>
      </c>
      <c r="E113" s="3" t="s">
        <v>603</v>
      </c>
      <c r="F113" s="3" t="s">
        <v>22</v>
      </c>
      <c r="G113" s="3" t="s">
        <v>91</v>
      </c>
      <c r="H113" s="3" t="s">
        <v>84</v>
      </c>
      <c r="I113" s="3" t="s">
        <v>542</v>
      </c>
      <c r="J113" s="3" t="s">
        <v>26</v>
      </c>
      <c r="K113" s="3" t="s">
        <v>27</v>
      </c>
      <c r="L113" s="3"/>
      <c r="M113" s="3" t="s">
        <v>107</v>
      </c>
      <c r="N113" s="3" t="str">
        <f>IF(COUNTIF($A$2:A113,A113)&gt;1,"Si","No")</f>
        <v>No</v>
      </c>
      <c r="O113" s="3" t="str">
        <f>VLOOKUP(J113,Referencias!$A$2:$B$7,2,FALSE())</f>
        <v>Segunda</v>
      </c>
      <c r="P113" s="3" t="str">
        <f t="shared" si="6"/>
        <v>OK</v>
      </c>
      <c r="Q113" s="3" t="str">
        <f t="shared" si="7"/>
        <v>Faltante</v>
      </c>
    </row>
    <row r="114" spans="1:17" ht="15" customHeight="1" x14ac:dyDescent="0.3">
      <c r="A114" s="3" t="s">
        <v>604</v>
      </c>
      <c r="B114" s="3" t="s">
        <v>95</v>
      </c>
      <c r="C114" s="3" t="s">
        <v>605</v>
      </c>
      <c r="D114" s="3" t="s">
        <v>606</v>
      </c>
      <c r="E114" s="3" t="s">
        <v>607</v>
      </c>
      <c r="F114" s="3" t="s">
        <v>22</v>
      </c>
      <c r="G114" s="3" t="s">
        <v>44</v>
      </c>
      <c r="H114" s="3" t="s">
        <v>91</v>
      </c>
      <c r="I114" s="3" t="s">
        <v>507</v>
      </c>
      <c r="J114" s="3" t="s">
        <v>78</v>
      </c>
      <c r="K114" s="3" t="s">
        <v>27</v>
      </c>
      <c r="L114" s="4">
        <v>250700</v>
      </c>
      <c r="M114" s="3" t="s">
        <v>608</v>
      </c>
      <c r="N114" s="3" t="str">
        <f>IF(COUNTIF($A$2:A114,A114)&gt;1,"Si","No")</f>
        <v>No</v>
      </c>
      <c r="O114" s="3" t="str">
        <f>VLOOKUP(J114,Referencias!$A$2:$B$7,2,FALSE())</f>
        <v>Segunda</v>
      </c>
      <c r="P114" s="3" t="str">
        <f t="shared" si="6"/>
        <v>OK</v>
      </c>
      <c r="Q114" s="3" t="str">
        <f t="shared" si="7"/>
        <v>OK</v>
      </c>
    </row>
    <row r="115" spans="1:17" ht="15" customHeight="1" x14ac:dyDescent="0.3">
      <c r="A115" s="3" t="s">
        <v>609</v>
      </c>
      <c r="B115" s="3" t="s">
        <v>544</v>
      </c>
      <c r="C115" s="3" t="s">
        <v>576</v>
      </c>
      <c r="D115" s="3"/>
      <c r="E115" s="3" t="s">
        <v>610</v>
      </c>
      <c r="F115" s="3" t="s">
        <v>34</v>
      </c>
      <c r="G115" s="3" t="s">
        <v>35</v>
      </c>
      <c r="H115" s="3" t="s">
        <v>44</v>
      </c>
      <c r="I115" s="3" t="s">
        <v>77</v>
      </c>
      <c r="J115" s="3" t="s">
        <v>78</v>
      </c>
      <c r="K115" s="3" t="s">
        <v>27</v>
      </c>
      <c r="L115" s="4">
        <v>304900</v>
      </c>
      <c r="M115" s="3" t="s">
        <v>251</v>
      </c>
      <c r="N115" s="3" t="str">
        <f>IF(COUNTIF($A$2:A115,A115)&gt;1,"Si","No")</f>
        <v>No</v>
      </c>
      <c r="O115" s="3" t="str">
        <f>VLOOKUP(J115,Referencias!$A$2:$B$7,2,FALSE())</f>
        <v>Segunda</v>
      </c>
      <c r="P115" s="3" t="str">
        <f t="shared" si="6"/>
        <v>Faltante</v>
      </c>
      <c r="Q115" s="3" t="str">
        <f t="shared" si="7"/>
        <v>OK</v>
      </c>
    </row>
    <row r="116" spans="1:17" ht="15" customHeight="1" x14ac:dyDescent="0.3">
      <c r="A116" s="3" t="s">
        <v>611</v>
      </c>
      <c r="B116" s="3" t="s">
        <v>50</v>
      </c>
      <c r="C116" s="3" t="s">
        <v>612</v>
      </c>
      <c r="D116" s="3" t="s">
        <v>613</v>
      </c>
      <c r="E116" s="3" t="s">
        <v>614</v>
      </c>
      <c r="F116" s="3" t="s">
        <v>22</v>
      </c>
      <c r="G116" s="3" t="s">
        <v>35</v>
      </c>
      <c r="H116" s="3" t="s">
        <v>53</v>
      </c>
      <c r="I116" s="3" t="s">
        <v>615</v>
      </c>
      <c r="J116" s="3" t="s">
        <v>55</v>
      </c>
      <c r="K116" s="3" t="s">
        <v>27</v>
      </c>
      <c r="L116" s="4">
        <v>88600</v>
      </c>
      <c r="M116" s="3" t="s">
        <v>616</v>
      </c>
      <c r="N116" s="3" t="str">
        <f>IF(COUNTIF($A$2:A116,A116)&gt;1,"Si","No")</f>
        <v>No</v>
      </c>
      <c r="O116" s="3" t="str">
        <f>VLOOKUP(J116,Referencias!$A$2:$B$7,2,FALSE())</f>
        <v>Segunda</v>
      </c>
      <c r="P116" s="3" t="str">
        <f t="shared" si="6"/>
        <v>OK</v>
      </c>
      <c r="Q116" s="3" t="str">
        <f t="shared" si="7"/>
        <v>OK</v>
      </c>
    </row>
    <row r="117" spans="1:17" ht="15" customHeight="1" x14ac:dyDescent="0.3">
      <c r="A117" s="3" t="s">
        <v>617</v>
      </c>
      <c r="B117" s="3" t="s">
        <v>223</v>
      </c>
      <c r="C117" s="3" t="s">
        <v>601</v>
      </c>
      <c r="D117" s="3"/>
      <c r="E117" s="3"/>
      <c r="F117" s="3" t="s">
        <v>22</v>
      </c>
      <c r="G117" s="3" t="s">
        <v>53</v>
      </c>
      <c r="H117" s="3" t="s">
        <v>138</v>
      </c>
      <c r="I117" s="3" t="s">
        <v>171</v>
      </c>
      <c r="J117" s="3" t="s">
        <v>26</v>
      </c>
      <c r="K117" s="3" t="s">
        <v>27</v>
      </c>
      <c r="L117" s="4">
        <v>229400</v>
      </c>
      <c r="M117" s="3" t="s">
        <v>263</v>
      </c>
      <c r="N117" s="3" t="str">
        <f>IF(COUNTIF($A$2:A117,A117)&gt;1,"Si","No")</f>
        <v>No</v>
      </c>
      <c r="O117" s="3" t="str">
        <f>VLOOKUP(J117,Referencias!$A$2:$B$7,2,FALSE())</f>
        <v>Segunda</v>
      </c>
      <c r="P117" s="3" t="str">
        <f t="shared" si="6"/>
        <v>Faltante</v>
      </c>
      <c r="Q117" s="3" t="str">
        <f t="shared" si="7"/>
        <v>OK</v>
      </c>
    </row>
    <row r="118" spans="1:17" ht="15" customHeight="1" x14ac:dyDescent="0.3">
      <c r="A118" s="3" t="s">
        <v>618</v>
      </c>
      <c r="B118" s="3" t="s">
        <v>163</v>
      </c>
      <c r="C118" s="3" t="s">
        <v>229</v>
      </c>
      <c r="D118" s="3" t="s">
        <v>619</v>
      </c>
      <c r="E118" s="3" t="s">
        <v>620</v>
      </c>
      <c r="F118" s="3" t="s">
        <v>34</v>
      </c>
      <c r="G118" s="3" t="s">
        <v>84</v>
      </c>
      <c r="H118" s="3" t="s">
        <v>23</v>
      </c>
      <c r="I118" s="3" t="s">
        <v>220</v>
      </c>
      <c r="J118" s="3" t="s">
        <v>47</v>
      </c>
      <c r="K118" s="3" t="s">
        <v>27</v>
      </c>
      <c r="L118" s="3"/>
      <c r="M118" s="3" t="s">
        <v>171</v>
      </c>
      <c r="N118" s="3" t="str">
        <f>IF(COUNTIF($A$2:A118,A118)&gt;1,"Si","No")</f>
        <v>No</v>
      </c>
      <c r="O118" s="3" t="str">
        <f>VLOOKUP(J118,Referencias!$A$2:$B$7,2,FALSE())</f>
        <v>Primera</v>
      </c>
      <c r="P118" s="3" t="str">
        <f t="shared" si="6"/>
        <v>OK</v>
      </c>
      <c r="Q118" s="3" t="str">
        <f t="shared" si="7"/>
        <v>Faltante</v>
      </c>
    </row>
    <row r="119" spans="1:17" ht="15" customHeight="1" x14ac:dyDescent="0.3">
      <c r="A119" s="3" t="s">
        <v>621</v>
      </c>
      <c r="B119" s="3" t="s">
        <v>622</v>
      </c>
      <c r="C119" s="3" t="s">
        <v>623</v>
      </c>
      <c r="D119" s="3" t="s">
        <v>624</v>
      </c>
      <c r="E119" s="3" t="s">
        <v>625</v>
      </c>
      <c r="F119" s="3" t="s">
        <v>34</v>
      </c>
      <c r="G119" s="3" t="s">
        <v>23</v>
      </c>
      <c r="H119" s="3" t="s">
        <v>138</v>
      </c>
      <c r="I119" s="3" t="s">
        <v>92</v>
      </c>
      <c r="J119" s="3" t="s">
        <v>37</v>
      </c>
      <c r="K119" s="3" t="s">
        <v>27</v>
      </c>
      <c r="L119" s="4">
        <v>225600</v>
      </c>
      <c r="M119" s="3" t="s">
        <v>626</v>
      </c>
      <c r="N119" s="3" t="str">
        <f>IF(COUNTIF($A$2:A119,A119)&gt;1,"Si","No")</f>
        <v>No</v>
      </c>
      <c r="O119" s="3" t="str">
        <f>VLOOKUP(J119,Referencias!$A$2:$B$7,2,FALSE())</f>
        <v>Primera</v>
      </c>
      <c r="P119" s="3" t="str">
        <f t="shared" si="6"/>
        <v>OK</v>
      </c>
      <c r="Q119" s="3" t="str">
        <f t="shared" si="7"/>
        <v>OK</v>
      </c>
    </row>
    <row r="120" spans="1:17" ht="15" customHeight="1" x14ac:dyDescent="0.3">
      <c r="A120" s="3" t="s">
        <v>627</v>
      </c>
      <c r="B120" s="3" t="s">
        <v>18</v>
      </c>
      <c r="C120" s="3" t="s">
        <v>247</v>
      </c>
      <c r="D120" s="3" t="s">
        <v>628</v>
      </c>
      <c r="E120" s="3"/>
      <c r="F120" s="3" t="s">
        <v>22</v>
      </c>
      <c r="G120" s="3" t="s">
        <v>35</v>
      </c>
      <c r="H120" s="3" t="s">
        <v>44</v>
      </c>
      <c r="I120" s="3" t="s">
        <v>629</v>
      </c>
      <c r="J120" s="3" t="s">
        <v>26</v>
      </c>
      <c r="K120" s="3" t="s">
        <v>27</v>
      </c>
      <c r="L120" s="4">
        <v>122800</v>
      </c>
      <c r="M120" s="3" t="s">
        <v>570</v>
      </c>
      <c r="N120" s="3" t="str">
        <f>IF(COUNTIF($A$2:A120,A120)&gt;1,"Si","No")</f>
        <v>No</v>
      </c>
      <c r="O120" s="3" t="str">
        <f>VLOOKUP(J120,Referencias!$A$2:$B$7,2,FALSE())</f>
        <v>Segunda</v>
      </c>
      <c r="P120" s="3" t="str">
        <f t="shared" si="6"/>
        <v>OK</v>
      </c>
      <c r="Q120" s="3" t="str">
        <f t="shared" si="7"/>
        <v>OK</v>
      </c>
    </row>
    <row r="121" spans="1:17" ht="15" customHeight="1" x14ac:dyDescent="0.3">
      <c r="A121" s="3" t="s">
        <v>630</v>
      </c>
      <c r="B121" s="3" t="s">
        <v>87</v>
      </c>
      <c r="C121" s="3" t="s">
        <v>292</v>
      </c>
      <c r="D121" s="3" t="s">
        <v>631</v>
      </c>
      <c r="E121" s="3" t="s">
        <v>632</v>
      </c>
      <c r="F121" s="3" t="s">
        <v>22</v>
      </c>
      <c r="G121" s="3" t="s">
        <v>91</v>
      </c>
      <c r="H121" s="3" t="s">
        <v>53</v>
      </c>
      <c r="I121" s="3" t="s">
        <v>69</v>
      </c>
      <c r="J121" s="3" t="s">
        <v>37</v>
      </c>
      <c r="K121" s="3" t="s">
        <v>27</v>
      </c>
      <c r="L121" s="4">
        <v>261800</v>
      </c>
      <c r="M121" s="3" t="s">
        <v>633</v>
      </c>
      <c r="N121" s="3" t="str">
        <f>IF(COUNTIF($A$2:A121,A121)&gt;1,"Si","No")</f>
        <v>No</v>
      </c>
      <c r="O121" s="3" t="str">
        <f>VLOOKUP(J121,Referencias!$A$2:$B$7,2,FALSE())</f>
        <v>Primera</v>
      </c>
      <c r="P121" s="3" t="str">
        <f t="shared" si="6"/>
        <v>OK</v>
      </c>
      <c r="Q121" s="3" t="str">
        <f t="shared" si="7"/>
        <v>OK</v>
      </c>
    </row>
    <row r="122" spans="1:17" ht="15" customHeight="1" x14ac:dyDescent="0.3">
      <c r="A122" s="3" t="s">
        <v>634</v>
      </c>
      <c r="B122" s="3" t="s">
        <v>382</v>
      </c>
      <c r="C122" s="3" t="s">
        <v>635</v>
      </c>
      <c r="D122" s="3" t="s">
        <v>636</v>
      </c>
      <c r="E122" s="3" t="s">
        <v>637</v>
      </c>
      <c r="F122" s="3" t="s">
        <v>34</v>
      </c>
      <c r="G122" s="3" t="s">
        <v>23</v>
      </c>
      <c r="H122" s="3" t="s">
        <v>91</v>
      </c>
      <c r="I122" s="3" t="s">
        <v>48</v>
      </c>
      <c r="J122" s="3" t="s">
        <v>100</v>
      </c>
      <c r="K122" s="3" t="s">
        <v>70</v>
      </c>
      <c r="L122" s="4">
        <v>305600</v>
      </c>
      <c r="M122" s="3" t="s">
        <v>25</v>
      </c>
      <c r="N122" s="3" t="str">
        <f>IF(COUNTIF($A$2:A122,A122)&gt;1,"Si","No")</f>
        <v>No</v>
      </c>
      <c r="O122" s="3" t="str">
        <f>VLOOKUP(J122,Referencias!$A$2:$B$7,2,FALSE())</f>
        <v>Primera</v>
      </c>
      <c r="P122" s="3" t="str">
        <f t="shared" si="6"/>
        <v>OK</v>
      </c>
      <c r="Q122" s="3" t="str">
        <f t="shared" si="7"/>
        <v>OK</v>
      </c>
    </row>
    <row r="123" spans="1:17" ht="15" customHeight="1" x14ac:dyDescent="0.3">
      <c r="A123" s="3" t="s">
        <v>638</v>
      </c>
      <c r="B123" s="3" t="s">
        <v>128</v>
      </c>
      <c r="C123" s="3" t="s">
        <v>639</v>
      </c>
      <c r="D123" s="3" t="s">
        <v>640</v>
      </c>
      <c r="E123" s="3" t="s">
        <v>641</v>
      </c>
      <c r="F123" s="3" t="s">
        <v>22</v>
      </c>
      <c r="G123" s="3" t="s">
        <v>36</v>
      </c>
      <c r="H123" s="3" t="s">
        <v>23</v>
      </c>
      <c r="I123" s="3" t="s">
        <v>642</v>
      </c>
      <c r="J123" s="3" t="s">
        <v>26</v>
      </c>
      <c r="K123" s="3" t="s">
        <v>27</v>
      </c>
      <c r="L123" s="4">
        <v>122900</v>
      </c>
      <c r="M123" s="3" t="s">
        <v>643</v>
      </c>
      <c r="N123" s="3" t="str">
        <f>IF(COUNTIF($A$2:A123,A123)&gt;1,"Si","No")</f>
        <v>No</v>
      </c>
      <c r="O123" s="3" t="str">
        <f>VLOOKUP(J123,Referencias!$A$2:$B$7,2,FALSE())</f>
        <v>Segunda</v>
      </c>
      <c r="P123" s="3" t="str">
        <f t="shared" si="6"/>
        <v>OK</v>
      </c>
      <c r="Q123" s="3" t="str">
        <f t="shared" si="7"/>
        <v>OK</v>
      </c>
    </row>
    <row r="124" spans="1:17" ht="15" customHeight="1" x14ac:dyDescent="0.3">
      <c r="A124" s="3" t="s">
        <v>644</v>
      </c>
      <c r="B124" s="3" t="s">
        <v>464</v>
      </c>
      <c r="C124" s="3" t="s">
        <v>645</v>
      </c>
      <c r="D124" s="3" t="s">
        <v>646</v>
      </c>
      <c r="E124" s="3" t="s">
        <v>647</v>
      </c>
      <c r="F124" s="3" t="s">
        <v>34</v>
      </c>
      <c r="G124" s="3" t="s">
        <v>91</v>
      </c>
      <c r="H124" s="3" t="s">
        <v>45</v>
      </c>
      <c r="I124" s="3" t="s">
        <v>648</v>
      </c>
      <c r="J124" s="3" t="s">
        <v>78</v>
      </c>
      <c r="K124" s="3" t="s">
        <v>27</v>
      </c>
      <c r="L124" s="4">
        <v>239000</v>
      </c>
      <c r="M124" s="3" t="s">
        <v>340</v>
      </c>
      <c r="N124" s="3" t="str">
        <f>IF(COUNTIF($A$2:A124,A124)&gt;1,"Si","No")</f>
        <v>No</v>
      </c>
      <c r="O124" s="3" t="str">
        <f>VLOOKUP(J124,Referencias!$A$2:$B$7,2,FALSE())</f>
        <v>Segunda</v>
      </c>
      <c r="P124" s="3" t="str">
        <f t="shared" si="6"/>
        <v>OK</v>
      </c>
      <c r="Q124" s="3" t="str">
        <f t="shared" si="7"/>
        <v>OK</v>
      </c>
    </row>
    <row r="125" spans="1:17" ht="15" customHeight="1" x14ac:dyDescent="0.3">
      <c r="A125" s="3" t="s">
        <v>649</v>
      </c>
      <c r="B125" s="3" t="s">
        <v>650</v>
      </c>
      <c r="C125" s="3" t="s">
        <v>601</v>
      </c>
      <c r="D125" s="3" t="s">
        <v>651</v>
      </c>
      <c r="E125" s="3" t="s">
        <v>652</v>
      </c>
      <c r="F125" s="3" t="s">
        <v>34</v>
      </c>
      <c r="G125" s="3" t="s">
        <v>91</v>
      </c>
      <c r="H125" s="3" t="s">
        <v>35</v>
      </c>
      <c r="I125" s="3" t="s">
        <v>653</v>
      </c>
      <c r="J125" s="3" t="s">
        <v>26</v>
      </c>
      <c r="K125" s="3" t="s">
        <v>56</v>
      </c>
      <c r="L125" s="4">
        <v>299100</v>
      </c>
      <c r="M125" s="3" t="s">
        <v>435</v>
      </c>
      <c r="N125" s="3" t="str">
        <f>IF(COUNTIF($A$2:A125,A125)&gt;1,"Si","No")</f>
        <v>No</v>
      </c>
      <c r="O125" s="3" t="str">
        <f>VLOOKUP(J125,Referencias!$A$2:$B$7,2,FALSE())</f>
        <v>Segunda</v>
      </c>
      <c r="P125" s="3" t="str">
        <f t="shared" si="6"/>
        <v>OK</v>
      </c>
      <c r="Q125" s="3" t="str">
        <f t="shared" si="7"/>
        <v>OK</v>
      </c>
    </row>
    <row r="126" spans="1:17" ht="15" customHeight="1" x14ac:dyDescent="0.3">
      <c r="A126" s="3" t="s">
        <v>654</v>
      </c>
      <c r="B126" s="3" t="s">
        <v>114</v>
      </c>
      <c r="C126" s="3" t="s">
        <v>187</v>
      </c>
      <c r="D126" s="3" t="s">
        <v>655</v>
      </c>
      <c r="E126" s="3" t="s">
        <v>656</v>
      </c>
      <c r="F126" s="3" t="s">
        <v>22</v>
      </c>
      <c r="G126" s="3" t="s">
        <v>35</v>
      </c>
      <c r="H126" s="3" t="s">
        <v>36</v>
      </c>
      <c r="I126" s="3" t="s">
        <v>390</v>
      </c>
      <c r="J126" s="3" t="s">
        <v>55</v>
      </c>
      <c r="K126" s="3" t="s">
        <v>27</v>
      </c>
      <c r="L126" s="4">
        <v>227900</v>
      </c>
      <c r="M126" s="3" t="s">
        <v>63</v>
      </c>
      <c r="N126" s="3" t="str">
        <f>IF(COUNTIF($A$2:A126,A126)&gt;1,"Si","No")</f>
        <v>No</v>
      </c>
      <c r="O126" s="3" t="str">
        <f>VLOOKUP(J126,Referencias!$A$2:$B$7,2,FALSE())</f>
        <v>Segunda</v>
      </c>
      <c r="P126" s="3" t="str">
        <f t="shared" si="6"/>
        <v>OK</v>
      </c>
      <c r="Q126" s="3" t="str">
        <f t="shared" si="7"/>
        <v>OK</v>
      </c>
    </row>
    <row r="127" spans="1:17" ht="15" customHeight="1" x14ac:dyDescent="0.3">
      <c r="A127" s="3" t="s">
        <v>657</v>
      </c>
      <c r="B127" s="3" t="s">
        <v>156</v>
      </c>
      <c r="C127" s="3" t="s">
        <v>493</v>
      </c>
      <c r="D127" s="3" t="s">
        <v>658</v>
      </c>
      <c r="E127" s="3" t="s">
        <v>659</v>
      </c>
      <c r="F127" s="3" t="s">
        <v>22</v>
      </c>
      <c r="G127" s="3" t="s">
        <v>24</v>
      </c>
      <c r="H127" s="3" t="s">
        <v>35</v>
      </c>
      <c r="I127" s="3" t="s">
        <v>196</v>
      </c>
      <c r="J127" s="3" t="s">
        <v>78</v>
      </c>
      <c r="K127" s="3" t="s">
        <v>27</v>
      </c>
      <c r="L127" s="4">
        <v>223900</v>
      </c>
      <c r="M127" s="3" t="s">
        <v>660</v>
      </c>
      <c r="N127" s="3" t="str">
        <f>IF(COUNTIF($A$2:A127,A127)&gt;1,"Si","No")</f>
        <v>No</v>
      </c>
      <c r="O127" s="3" t="str">
        <f>VLOOKUP(J127,Referencias!$A$2:$B$7,2,FALSE())</f>
        <v>Segunda</v>
      </c>
      <c r="P127" s="3" t="str">
        <f t="shared" si="6"/>
        <v>OK</v>
      </c>
      <c r="Q127" s="3" t="str">
        <f t="shared" si="7"/>
        <v>OK</v>
      </c>
    </row>
    <row r="128" spans="1:17" ht="15" customHeight="1" x14ac:dyDescent="0.3">
      <c r="A128" s="3" t="s">
        <v>661</v>
      </c>
      <c r="B128" s="3" t="s">
        <v>186</v>
      </c>
      <c r="C128" s="3" t="s">
        <v>662</v>
      </c>
      <c r="D128" s="3" t="s">
        <v>663</v>
      </c>
      <c r="E128" s="3" t="s">
        <v>664</v>
      </c>
      <c r="F128" s="3" t="s">
        <v>22</v>
      </c>
      <c r="G128" s="3" t="s">
        <v>91</v>
      </c>
      <c r="H128" s="3" t="s">
        <v>84</v>
      </c>
      <c r="I128" s="3" t="s">
        <v>665</v>
      </c>
      <c r="J128" s="3" t="s">
        <v>78</v>
      </c>
      <c r="K128" s="3" t="s">
        <v>27</v>
      </c>
      <c r="L128" s="4">
        <v>91700</v>
      </c>
      <c r="M128" s="3" t="s">
        <v>140</v>
      </c>
      <c r="N128" s="3" t="str">
        <f>IF(COUNTIF($A$2:A128,A128)&gt;1,"Si","No")</f>
        <v>No</v>
      </c>
      <c r="O128" s="3" t="str">
        <f>VLOOKUP(J128,Referencias!$A$2:$B$7,2,FALSE())</f>
        <v>Segunda</v>
      </c>
      <c r="P128" s="3" t="str">
        <f t="shared" si="6"/>
        <v>OK</v>
      </c>
      <c r="Q128" s="3" t="str">
        <f t="shared" si="7"/>
        <v>OK</v>
      </c>
    </row>
    <row r="129" spans="1:17" ht="15" customHeight="1" x14ac:dyDescent="0.3">
      <c r="A129" s="3" t="s">
        <v>666</v>
      </c>
      <c r="B129" s="3" t="s">
        <v>550</v>
      </c>
      <c r="C129" s="3" t="s">
        <v>667</v>
      </c>
      <c r="D129" s="3"/>
      <c r="E129" s="3"/>
      <c r="F129" s="3" t="s">
        <v>22</v>
      </c>
      <c r="G129" s="3" t="s">
        <v>53</v>
      </c>
      <c r="H129" s="3" t="s">
        <v>24</v>
      </c>
      <c r="I129" s="3" t="s">
        <v>441</v>
      </c>
      <c r="J129" s="3" t="s">
        <v>26</v>
      </c>
      <c r="K129" s="3" t="s">
        <v>27</v>
      </c>
      <c r="L129" s="4">
        <v>199500</v>
      </c>
      <c r="M129" s="3" t="s">
        <v>668</v>
      </c>
      <c r="N129" s="3" t="str">
        <f>IF(COUNTIF($A$2:A129,A129)&gt;1,"Si","No")</f>
        <v>No</v>
      </c>
      <c r="O129" s="3" t="str">
        <f>VLOOKUP(J129,Referencias!$A$2:$B$7,2,FALSE())</f>
        <v>Segunda</v>
      </c>
      <c r="P129" s="3" t="str">
        <f t="shared" si="6"/>
        <v>Faltante</v>
      </c>
      <c r="Q129" s="3" t="str">
        <f t="shared" si="7"/>
        <v>OK</v>
      </c>
    </row>
    <row r="130" spans="1:17" ht="15" customHeight="1" x14ac:dyDescent="0.3">
      <c r="A130" s="3" t="s">
        <v>669</v>
      </c>
      <c r="B130" s="3" t="s">
        <v>163</v>
      </c>
      <c r="C130" s="3" t="s">
        <v>670</v>
      </c>
      <c r="D130" s="3" t="s">
        <v>671</v>
      </c>
      <c r="E130" s="3"/>
      <c r="F130" s="3" t="s">
        <v>34</v>
      </c>
      <c r="G130" s="3" t="s">
        <v>23</v>
      </c>
      <c r="H130" s="3" t="s">
        <v>24</v>
      </c>
      <c r="I130" s="3" t="s">
        <v>126</v>
      </c>
      <c r="J130" s="3" t="s">
        <v>55</v>
      </c>
      <c r="K130" s="3" t="s">
        <v>27</v>
      </c>
      <c r="L130" s="4">
        <v>146200</v>
      </c>
      <c r="M130" s="3" t="s">
        <v>672</v>
      </c>
      <c r="N130" s="3" t="str">
        <f>IF(COUNTIF($A$2:A130,A130)&gt;1,"Si","No")</f>
        <v>No</v>
      </c>
      <c r="O130" s="3" t="str">
        <f>VLOOKUP(J130,Referencias!$A$2:$B$7,2,FALSE())</f>
        <v>Segunda</v>
      </c>
      <c r="P130" s="3" t="str">
        <f t="shared" ref="P130:P147" si="8">IF(D130="","Faltante","OK")</f>
        <v>OK</v>
      </c>
      <c r="Q130" s="3" t="str">
        <f t="shared" ref="Q130:Q147" si="9">IF(L130="","Faltante","OK")</f>
        <v>OK</v>
      </c>
    </row>
    <row r="131" spans="1:17" ht="15" customHeight="1" x14ac:dyDescent="0.3">
      <c r="A131" s="3" t="s">
        <v>673</v>
      </c>
      <c r="B131" s="3" t="s">
        <v>259</v>
      </c>
      <c r="C131" s="3" t="s">
        <v>674</v>
      </c>
      <c r="D131" s="3" t="s">
        <v>675</v>
      </c>
      <c r="E131" s="3" t="s">
        <v>676</v>
      </c>
      <c r="F131" s="3" t="s">
        <v>34</v>
      </c>
      <c r="G131" s="3" t="s">
        <v>23</v>
      </c>
      <c r="H131" s="3" t="s">
        <v>53</v>
      </c>
      <c r="I131" s="3" t="s">
        <v>221</v>
      </c>
      <c r="J131" s="3" t="s">
        <v>37</v>
      </c>
      <c r="K131" s="3" t="s">
        <v>27</v>
      </c>
      <c r="L131" s="4">
        <v>146900</v>
      </c>
      <c r="M131" s="3" t="s">
        <v>161</v>
      </c>
      <c r="N131" s="3" t="str">
        <f>IF(COUNTIF($A$2:A131,A131)&gt;1,"Si","No")</f>
        <v>No</v>
      </c>
      <c r="O131" s="3" t="str">
        <f>VLOOKUP(J131,Referencias!$A$2:$B$7,2,FALSE())</f>
        <v>Primera</v>
      </c>
      <c r="P131" s="3" t="str">
        <f t="shared" si="8"/>
        <v>OK</v>
      </c>
      <c r="Q131" s="3" t="str">
        <f t="shared" si="9"/>
        <v>OK</v>
      </c>
    </row>
    <row r="132" spans="1:17" ht="15" customHeight="1" x14ac:dyDescent="0.3">
      <c r="A132" s="3" t="s">
        <v>414</v>
      </c>
      <c r="B132" s="3" t="s">
        <v>128</v>
      </c>
      <c r="C132" s="3" t="s">
        <v>400</v>
      </c>
      <c r="D132" s="3"/>
      <c r="E132" s="3" t="s">
        <v>415</v>
      </c>
      <c r="F132" s="3" t="s">
        <v>22</v>
      </c>
      <c r="G132" s="3" t="s">
        <v>53</v>
      </c>
      <c r="H132" s="3" t="s">
        <v>23</v>
      </c>
      <c r="I132" s="3" t="s">
        <v>171</v>
      </c>
      <c r="J132" s="3" t="s">
        <v>100</v>
      </c>
      <c r="K132" s="3" t="s">
        <v>27</v>
      </c>
      <c r="L132" s="4">
        <v>220700</v>
      </c>
      <c r="M132" s="3" t="s">
        <v>416</v>
      </c>
      <c r="N132" s="3" t="str">
        <f>IF(COUNTIF($A$2:A132,A132)&gt;1,"Si","No")</f>
        <v>Si</v>
      </c>
      <c r="O132" s="3" t="str">
        <f>VLOOKUP(J132,Referencias!$A$2:$B$7,2,FALSE())</f>
        <v>Primera</v>
      </c>
      <c r="P132" s="3" t="str">
        <f t="shared" si="8"/>
        <v>Faltante</v>
      </c>
      <c r="Q132" s="3" t="str">
        <f t="shared" si="9"/>
        <v>OK</v>
      </c>
    </row>
    <row r="133" spans="1:17" ht="15" customHeight="1" x14ac:dyDescent="0.3">
      <c r="A133" s="3" t="s">
        <v>677</v>
      </c>
      <c r="B133" s="3" t="s">
        <v>287</v>
      </c>
      <c r="C133" s="3" t="s">
        <v>678</v>
      </c>
      <c r="D133" s="3" t="s">
        <v>679</v>
      </c>
      <c r="E133" s="3" t="s">
        <v>680</v>
      </c>
      <c r="F133" s="3" t="s">
        <v>22</v>
      </c>
      <c r="G133" s="3" t="s">
        <v>53</v>
      </c>
      <c r="H133" s="3" t="s">
        <v>84</v>
      </c>
      <c r="I133" s="3" t="s">
        <v>681</v>
      </c>
      <c r="J133" s="3" t="s">
        <v>26</v>
      </c>
      <c r="K133" s="3" t="s">
        <v>27</v>
      </c>
      <c r="L133" s="4">
        <v>284400</v>
      </c>
      <c r="M133" s="3" t="s">
        <v>263</v>
      </c>
      <c r="N133" s="3" t="str">
        <f>IF(COUNTIF($A$2:A133,A133)&gt;1,"Si","No")</f>
        <v>No</v>
      </c>
      <c r="O133" s="3" t="str">
        <f>VLOOKUP(J133,Referencias!$A$2:$B$7,2,FALSE())</f>
        <v>Segunda</v>
      </c>
      <c r="P133" s="3" t="str">
        <f t="shared" si="8"/>
        <v>OK</v>
      </c>
      <c r="Q133" s="3" t="str">
        <f t="shared" si="9"/>
        <v>OK</v>
      </c>
    </row>
    <row r="134" spans="1:17" ht="15" customHeight="1" x14ac:dyDescent="0.3">
      <c r="A134" s="3" t="s">
        <v>682</v>
      </c>
      <c r="B134" s="3" t="s">
        <v>103</v>
      </c>
      <c r="C134" s="3" t="s">
        <v>683</v>
      </c>
      <c r="D134" s="3" t="s">
        <v>684</v>
      </c>
      <c r="E134" s="3" t="s">
        <v>685</v>
      </c>
      <c r="F134" s="3" t="s">
        <v>34</v>
      </c>
      <c r="G134" s="3" t="s">
        <v>53</v>
      </c>
      <c r="H134" s="3" t="s">
        <v>45</v>
      </c>
      <c r="I134" s="3" t="s">
        <v>204</v>
      </c>
      <c r="J134" s="3" t="s">
        <v>78</v>
      </c>
      <c r="K134" s="3" t="s">
        <v>27</v>
      </c>
      <c r="L134" s="4">
        <v>77400</v>
      </c>
      <c r="M134" s="3" t="s">
        <v>256</v>
      </c>
      <c r="N134" s="3" t="str">
        <f>IF(COUNTIF($A$2:A134,A134)&gt;1,"Si","No")</f>
        <v>No</v>
      </c>
      <c r="O134" s="3" t="str">
        <f>VLOOKUP(J134,Referencias!$A$2:$B$7,2,FALSE())</f>
        <v>Segunda</v>
      </c>
      <c r="P134" s="3" t="str">
        <f t="shared" si="8"/>
        <v>OK</v>
      </c>
      <c r="Q134" s="3" t="str">
        <f t="shared" si="9"/>
        <v>OK</v>
      </c>
    </row>
    <row r="135" spans="1:17" ht="15" customHeight="1" x14ac:dyDescent="0.3">
      <c r="A135" s="3" t="s">
        <v>686</v>
      </c>
      <c r="B135" s="3" t="s">
        <v>302</v>
      </c>
      <c r="C135" s="3" t="s">
        <v>687</v>
      </c>
      <c r="D135" s="3" t="s">
        <v>688</v>
      </c>
      <c r="E135" s="3" t="s">
        <v>689</v>
      </c>
      <c r="F135" s="3" t="s">
        <v>34</v>
      </c>
      <c r="G135" s="3" t="s">
        <v>53</v>
      </c>
      <c r="H135" s="3" t="s">
        <v>35</v>
      </c>
      <c r="I135" s="3" t="s">
        <v>93</v>
      </c>
      <c r="J135" s="3" t="s">
        <v>100</v>
      </c>
      <c r="K135" s="3" t="s">
        <v>27</v>
      </c>
      <c r="L135" s="4">
        <v>183600</v>
      </c>
      <c r="M135" s="3" t="s">
        <v>660</v>
      </c>
      <c r="N135" s="3" t="str">
        <f>IF(COUNTIF($A$2:A135,A135)&gt;1,"Si","No")</f>
        <v>No</v>
      </c>
      <c r="O135" s="3" t="str">
        <f>VLOOKUP(J135,Referencias!$A$2:$B$7,2,FALSE())</f>
        <v>Primera</v>
      </c>
      <c r="P135" s="3" t="str">
        <f t="shared" si="8"/>
        <v>OK</v>
      </c>
      <c r="Q135" s="3" t="str">
        <f t="shared" si="9"/>
        <v>OK</v>
      </c>
    </row>
    <row r="136" spans="1:17" ht="15" customHeight="1" x14ac:dyDescent="0.3">
      <c r="A136" s="3" t="s">
        <v>690</v>
      </c>
      <c r="B136" s="3" t="s">
        <v>234</v>
      </c>
      <c r="C136" s="3" t="s">
        <v>691</v>
      </c>
      <c r="D136" s="3" t="s">
        <v>692</v>
      </c>
      <c r="E136" s="3" t="s">
        <v>693</v>
      </c>
      <c r="F136" s="3" t="s">
        <v>22</v>
      </c>
      <c r="G136" s="3" t="s">
        <v>23</v>
      </c>
      <c r="H136" s="3" t="s">
        <v>36</v>
      </c>
      <c r="I136" s="3" t="s">
        <v>694</v>
      </c>
      <c r="J136" s="3" t="s">
        <v>26</v>
      </c>
      <c r="K136" s="3" t="s">
        <v>27</v>
      </c>
      <c r="L136" s="4">
        <v>248500</v>
      </c>
      <c r="M136" s="3" t="s">
        <v>57</v>
      </c>
      <c r="N136" s="3" t="str">
        <f>IF(COUNTIF($A$2:A136,A136)&gt;1,"Si","No")</f>
        <v>No</v>
      </c>
      <c r="O136" s="3" t="str">
        <f>VLOOKUP(J136,Referencias!$A$2:$B$7,2,FALSE())</f>
        <v>Segunda</v>
      </c>
      <c r="P136" s="3" t="str">
        <f t="shared" si="8"/>
        <v>OK</v>
      </c>
      <c r="Q136" s="3" t="str">
        <f t="shared" si="9"/>
        <v>OK</v>
      </c>
    </row>
    <row r="137" spans="1:17" ht="15" customHeight="1" x14ac:dyDescent="0.3">
      <c r="A137" s="3" t="s">
        <v>695</v>
      </c>
      <c r="B137" s="3" t="s">
        <v>149</v>
      </c>
      <c r="C137" s="3" t="s">
        <v>585</v>
      </c>
      <c r="D137" s="3" t="s">
        <v>696</v>
      </c>
      <c r="E137" s="3"/>
      <c r="F137" s="3" t="s">
        <v>22</v>
      </c>
      <c r="G137" s="3" t="s">
        <v>138</v>
      </c>
      <c r="H137" s="3" t="s">
        <v>36</v>
      </c>
      <c r="I137" s="3" t="s">
        <v>170</v>
      </c>
      <c r="J137" s="3" t="s">
        <v>47</v>
      </c>
      <c r="K137" s="3" t="s">
        <v>56</v>
      </c>
      <c r="L137" s="4">
        <v>243300</v>
      </c>
      <c r="M137" s="3" t="s">
        <v>28</v>
      </c>
      <c r="N137" s="3" t="str">
        <f>IF(COUNTIF($A$2:A137,A137)&gt;1,"Si","No")</f>
        <v>No</v>
      </c>
      <c r="O137" s="3" t="str">
        <f>VLOOKUP(J137,Referencias!$A$2:$B$7,2,FALSE())</f>
        <v>Primera</v>
      </c>
      <c r="P137" s="3" t="str">
        <f t="shared" si="8"/>
        <v>OK</v>
      </c>
      <c r="Q137" s="3" t="str">
        <f t="shared" si="9"/>
        <v>OK</v>
      </c>
    </row>
    <row r="138" spans="1:17" ht="15" customHeight="1" x14ac:dyDescent="0.3">
      <c r="A138" s="3" t="s">
        <v>697</v>
      </c>
      <c r="B138" s="3" t="s">
        <v>73</v>
      </c>
      <c r="C138" s="3" t="s">
        <v>698</v>
      </c>
      <c r="D138" s="3" t="s">
        <v>699</v>
      </c>
      <c r="E138" s="3" t="s">
        <v>700</v>
      </c>
      <c r="F138" s="3" t="s">
        <v>22</v>
      </c>
      <c r="G138" s="3" t="s">
        <v>45</v>
      </c>
      <c r="H138" s="3" t="s">
        <v>44</v>
      </c>
      <c r="I138" s="3" t="s">
        <v>170</v>
      </c>
      <c r="J138" s="3" t="s">
        <v>37</v>
      </c>
      <c r="K138" s="3" t="s">
        <v>27</v>
      </c>
      <c r="L138" s="4">
        <v>228600</v>
      </c>
      <c r="M138" s="3" t="s">
        <v>701</v>
      </c>
      <c r="N138" s="3" t="str">
        <f>IF(COUNTIF($A$2:A138,A138)&gt;1,"Si","No")</f>
        <v>No</v>
      </c>
      <c r="O138" s="3" t="str">
        <f>VLOOKUP(J138,Referencias!$A$2:$B$7,2,FALSE())</f>
        <v>Primera</v>
      </c>
      <c r="P138" s="3" t="str">
        <f t="shared" si="8"/>
        <v>OK</v>
      </c>
      <c r="Q138" s="3" t="str">
        <f t="shared" si="9"/>
        <v>OK</v>
      </c>
    </row>
    <row r="139" spans="1:17" ht="15" customHeight="1" x14ac:dyDescent="0.3">
      <c r="A139" s="3" t="s">
        <v>702</v>
      </c>
      <c r="B139" s="3" t="s">
        <v>323</v>
      </c>
      <c r="C139" s="3" t="s">
        <v>346</v>
      </c>
      <c r="D139" s="3" t="s">
        <v>703</v>
      </c>
      <c r="E139" s="3" t="s">
        <v>704</v>
      </c>
      <c r="F139" s="3" t="s">
        <v>34</v>
      </c>
      <c r="G139" s="3" t="s">
        <v>84</v>
      </c>
      <c r="H139" s="3" t="s">
        <v>138</v>
      </c>
      <c r="I139" s="3" t="s">
        <v>256</v>
      </c>
      <c r="J139" s="3" t="s">
        <v>78</v>
      </c>
      <c r="K139" s="3" t="s">
        <v>27</v>
      </c>
      <c r="L139" s="4">
        <v>172200</v>
      </c>
      <c r="M139" s="3" t="s">
        <v>450</v>
      </c>
      <c r="N139" s="3" t="str">
        <f>IF(COUNTIF($A$2:A139,A139)&gt;1,"Si","No")</f>
        <v>No</v>
      </c>
      <c r="O139" s="3" t="str">
        <f>VLOOKUP(J139,Referencias!$A$2:$B$7,2,FALSE())</f>
        <v>Segunda</v>
      </c>
      <c r="P139" s="3" t="str">
        <f t="shared" si="8"/>
        <v>OK</v>
      </c>
      <c r="Q139" s="3" t="str">
        <f t="shared" si="9"/>
        <v>OK</v>
      </c>
    </row>
    <row r="140" spans="1:17" ht="15" customHeight="1" x14ac:dyDescent="0.3">
      <c r="A140" s="3" t="s">
        <v>705</v>
      </c>
      <c r="B140" s="3" t="s">
        <v>593</v>
      </c>
      <c r="C140" s="3" t="s">
        <v>706</v>
      </c>
      <c r="D140" s="3" t="s">
        <v>707</v>
      </c>
      <c r="E140" s="3" t="s">
        <v>708</v>
      </c>
      <c r="F140" s="3" t="s">
        <v>34</v>
      </c>
      <c r="G140" s="3" t="s">
        <v>36</v>
      </c>
      <c r="H140" s="3" t="s">
        <v>24</v>
      </c>
      <c r="I140" s="3" t="s">
        <v>300</v>
      </c>
      <c r="J140" s="3" t="s">
        <v>55</v>
      </c>
      <c r="K140" s="3" t="s">
        <v>27</v>
      </c>
      <c r="L140" s="4">
        <v>84300</v>
      </c>
      <c r="M140" s="3" t="s">
        <v>709</v>
      </c>
      <c r="N140" s="3" t="str">
        <f>IF(COUNTIF($A$2:A140,A140)&gt;1,"Si","No")</f>
        <v>No</v>
      </c>
      <c r="O140" s="3" t="str">
        <f>VLOOKUP(J140,Referencias!$A$2:$B$7,2,FALSE())</f>
        <v>Segunda</v>
      </c>
      <c r="P140" s="3" t="str">
        <f t="shared" si="8"/>
        <v>OK</v>
      </c>
      <c r="Q140" s="3" t="str">
        <f t="shared" si="9"/>
        <v>OK</v>
      </c>
    </row>
    <row r="141" spans="1:17" ht="15" customHeight="1" x14ac:dyDescent="0.3">
      <c r="A141" s="3" t="s">
        <v>710</v>
      </c>
      <c r="B141" s="3" t="s">
        <v>404</v>
      </c>
      <c r="C141" s="3" t="s">
        <v>711</v>
      </c>
      <c r="D141" s="3" t="s">
        <v>712</v>
      </c>
      <c r="E141" s="3" t="s">
        <v>713</v>
      </c>
      <c r="F141" s="3" t="s">
        <v>22</v>
      </c>
      <c r="G141" s="3" t="s">
        <v>91</v>
      </c>
      <c r="H141" s="3" t="s">
        <v>23</v>
      </c>
      <c r="I141" s="3" t="s">
        <v>363</v>
      </c>
      <c r="J141" s="3" t="s">
        <v>26</v>
      </c>
      <c r="K141" s="3" t="s">
        <v>27</v>
      </c>
      <c r="L141" s="4">
        <v>207700</v>
      </c>
      <c r="M141" s="3" t="s">
        <v>516</v>
      </c>
      <c r="N141" s="3" t="str">
        <f>IF(COUNTIF($A$2:A141,A141)&gt;1,"Si","No")</f>
        <v>No</v>
      </c>
      <c r="O141" s="3" t="str">
        <f>VLOOKUP(J141,Referencias!$A$2:$B$7,2,FALSE())</f>
        <v>Segunda</v>
      </c>
      <c r="P141" s="3" t="str">
        <f t="shared" si="8"/>
        <v>OK</v>
      </c>
      <c r="Q141" s="3" t="str">
        <f t="shared" si="9"/>
        <v>OK</v>
      </c>
    </row>
    <row r="142" spans="1:17" ht="15" customHeight="1" x14ac:dyDescent="0.3">
      <c r="A142" s="3" t="s">
        <v>592</v>
      </c>
      <c r="B142" s="3" t="s">
        <v>593</v>
      </c>
      <c r="C142" s="3" t="s">
        <v>500</v>
      </c>
      <c r="D142" s="3" t="s">
        <v>594</v>
      </c>
      <c r="E142" s="3" t="s">
        <v>595</v>
      </c>
      <c r="F142" s="3" t="s">
        <v>22</v>
      </c>
      <c r="G142" s="3" t="s">
        <v>23</v>
      </c>
      <c r="H142" s="3" t="s">
        <v>53</v>
      </c>
      <c r="I142" s="3" t="s">
        <v>25</v>
      </c>
      <c r="J142" s="3" t="s">
        <v>100</v>
      </c>
      <c r="K142" s="3" t="s">
        <v>27</v>
      </c>
      <c r="L142" s="4">
        <v>314800</v>
      </c>
      <c r="M142" s="3" t="s">
        <v>596</v>
      </c>
      <c r="N142" s="3" t="str">
        <f>IF(COUNTIF($A$2:A142,A142)&gt;1,"Si","No")</f>
        <v>Si</v>
      </c>
      <c r="O142" s="3" t="str">
        <f>VLOOKUP(J142,Referencias!$A$2:$B$7,2,FALSE())</f>
        <v>Primera</v>
      </c>
      <c r="P142" s="3" t="str">
        <f t="shared" si="8"/>
        <v>OK</v>
      </c>
      <c r="Q142" s="3" t="str">
        <f t="shared" si="9"/>
        <v>OK</v>
      </c>
    </row>
    <row r="143" spans="1:17" ht="15" customHeight="1" x14ac:dyDescent="0.3">
      <c r="A143" s="3" t="s">
        <v>714</v>
      </c>
      <c r="B143" s="3" t="s">
        <v>142</v>
      </c>
      <c r="C143" s="3" t="s">
        <v>667</v>
      </c>
      <c r="D143" s="3" t="s">
        <v>715</v>
      </c>
      <c r="E143" s="3" t="s">
        <v>716</v>
      </c>
      <c r="F143" s="3" t="s">
        <v>34</v>
      </c>
      <c r="G143" s="3" t="s">
        <v>91</v>
      </c>
      <c r="H143" s="3" t="s">
        <v>138</v>
      </c>
      <c r="I143" s="3" t="s">
        <v>221</v>
      </c>
      <c r="J143" s="3" t="s">
        <v>100</v>
      </c>
      <c r="K143" s="3" t="s">
        <v>27</v>
      </c>
      <c r="L143" s="4">
        <v>198500</v>
      </c>
      <c r="M143" s="3" t="s">
        <v>177</v>
      </c>
      <c r="N143" s="3" t="str">
        <f>IF(COUNTIF($A$2:A143,A143)&gt;1,"Si","No")</f>
        <v>No</v>
      </c>
      <c r="O143" s="3" t="str">
        <f>VLOOKUP(J143,Referencias!$A$2:$B$7,2,FALSE())</f>
        <v>Primera</v>
      </c>
      <c r="P143" s="3" t="str">
        <f t="shared" si="8"/>
        <v>OK</v>
      </c>
      <c r="Q143" s="3" t="str">
        <f t="shared" si="9"/>
        <v>OK</v>
      </c>
    </row>
    <row r="144" spans="1:17" ht="15" customHeight="1" x14ac:dyDescent="0.3">
      <c r="A144" s="3" t="s">
        <v>717</v>
      </c>
      <c r="B144" s="3" t="s">
        <v>18</v>
      </c>
      <c r="C144" s="3" t="s">
        <v>453</v>
      </c>
      <c r="D144" s="3"/>
      <c r="E144" s="3" t="s">
        <v>718</v>
      </c>
      <c r="F144" s="3" t="s">
        <v>22</v>
      </c>
      <c r="G144" s="3" t="s">
        <v>45</v>
      </c>
      <c r="H144" s="3" t="s">
        <v>24</v>
      </c>
      <c r="I144" s="3" t="s">
        <v>719</v>
      </c>
      <c r="J144" s="3" t="s">
        <v>47</v>
      </c>
      <c r="K144" s="3" t="s">
        <v>70</v>
      </c>
      <c r="L144" s="4">
        <v>255700</v>
      </c>
      <c r="M144" s="3" t="s">
        <v>720</v>
      </c>
      <c r="N144" s="3" t="str">
        <f>IF(COUNTIF($A$2:A144,A144)&gt;1,"Si","No")</f>
        <v>No</v>
      </c>
      <c r="O144" s="3" t="str">
        <f>VLOOKUP(J144,Referencias!$A$2:$B$7,2,FALSE())</f>
        <v>Primera</v>
      </c>
      <c r="P144" s="3" t="str">
        <f t="shared" si="8"/>
        <v>Faltante</v>
      </c>
      <c r="Q144" s="3" t="str">
        <f t="shared" si="9"/>
        <v>OK</v>
      </c>
    </row>
    <row r="145" spans="1:17" ht="15" customHeight="1" x14ac:dyDescent="0.3">
      <c r="A145" s="3" t="s">
        <v>721</v>
      </c>
      <c r="B145" s="3" t="s">
        <v>418</v>
      </c>
      <c r="C145" s="3" t="s">
        <v>722</v>
      </c>
      <c r="D145" s="3"/>
      <c r="E145" s="3" t="s">
        <v>723</v>
      </c>
      <c r="F145" s="3" t="s">
        <v>22</v>
      </c>
      <c r="G145" s="3" t="s">
        <v>36</v>
      </c>
      <c r="H145" s="3" t="s">
        <v>45</v>
      </c>
      <c r="I145" s="3" t="s">
        <v>724</v>
      </c>
      <c r="J145" s="3" t="s">
        <v>78</v>
      </c>
      <c r="K145" s="3" t="s">
        <v>27</v>
      </c>
      <c r="L145" s="4">
        <v>305200</v>
      </c>
      <c r="M145" s="3" t="s">
        <v>725</v>
      </c>
      <c r="N145" s="3" t="str">
        <f>IF(COUNTIF($A$2:A145,A145)&gt;1,"Si","No")</f>
        <v>No</v>
      </c>
      <c r="O145" s="3" t="str">
        <f>VLOOKUP(J145,Referencias!$A$2:$B$7,2,FALSE())</f>
        <v>Segunda</v>
      </c>
      <c r="P145" s="3" t="str">
        <f t="shared" si="8"/>
        <v>Faltante</v>
      </c>
      <c r="Q145" s="3" t="str">
        <f t="shared" si="9"/>
        <v>OK</v>
      </c>
    </row>
    <row r="146" spans="1:17" ht="15" customHeight="1" x14ac:dyDescent="0.3">
      <c r="A146" s="3" t="s">
        <v>726</v>
      </c>
      <c r="B146" s="3" t="s">
        <v>287</v>
      </c>
      <c r="C146" s="3" t="s">
        <v>275</v>
      </c>
      <c r="D146" s="3"/>
      <c r="E146" s="3" t="s">
        <v>727</v>
      </c>
      <c r="F146" s="3" t="s">
        <v>22</v>
      </c>
      <c r="G146" s="3" t="s">
        <v>138</v>
      </c>
      <c r="H146" s="3" t="s">
        <v>23</v>
      </c>
      <c r="I146" s="3" t="s">
        <v>93</v>
      </c>
      <c r="J146" s="3" t="s">
        <v>47</v>
      </c>
      <c r="K146" s="3" t="s">
        <v>27</v>
      </c>
      <c r="L146" s="4">
        <v>267400</v>
      </c>
      <c r="M146" s="3" t="s">
        <v>284</v>
      </c>
      <c r="N146" s="3" t="str">
        <f>IF(COUNTIF($A$2:A146,A146)&gt;1,"Si","No")</f>
        <v>No</v>
      </c>
      <c r="O146" s="3" t="str">
        <f>VLOOKUP(J146,Referencias!$A$2:$B$7,2,FALSE())</f>
        <v>Primera</v>
      </c>
      <c r="P146" s="3" t="str">
        <f t="shared" si="8"/>
        <v>Faltante</v>
      </c>
      <c r="Q146" s="3" t="str">
        <f t="shared" si="9"/>
        <v>OK</v>
      </c>
    </row>
    <row r="147" spans="1:17" ht="15" customHeight="1" x14ac:dyDescent="0.3">
      <c r="A147" s="3" t="s">
        <v>728</v>
      </c>
      <c r="B147" s="3" t="s">
        <v>114</v>
      </c>
      <c r="C147" s="3" t="s">
        <v>60</v>
      </c>
      <c r="D147" s="3" t="s">
        <v>729</v>
      </c>
      <c r="E147" s="3" t="s">
        <v>730</v>
      </c>
      <c r="F147" s="3" t="s">
        <v>34</v>
      </c>
      <c r="G147" s="3" t="s">
        <v>36</v>
      </c>
      <c r="H147" s="3" t="s">
        <v>23</v>
      </c>
      <c r="I147" s="3" t="s">
        <v>563</v>
      </c>
      <c r="J147" s="3" t="s">
        <v>37</v>
      </c>
      <c r="K147" s="3" t="s">
        <v>70</v>
      </c>
      <c r="L147" s="4">
        <v>70200</v>
      </c>
      <c r="M147" s="3" t="s">
        <v>473</v>
      </c>
      <c r="N147" s="3" t="str">
        <f>IF(COUNTIF($A$2:A147,A147)&gt;1,"Si","No")</f>
        <v>No</v>
      </c>
      <c r="O147" s="3" t="str">
        <f>VLOOKUP(J147,Referencias!$A$2:$B$7,2,FALSE())</f>
        <v>Primera</v>
      </c>
      <c r="P147" s="3" t="str">
        <f t="shared" si="8"/>
        <v>OK</v>
      </c>
      <c r="Q147" s="3" t="str">
        <f t="shared" si="9"/>
        <v>OK</v>
      </c>
    </row>
    <row r="149" spans="1:17" ht="15" customHeight="1" x14ac:dyDescent="0.3">
      <c r="A149" s="5" t="s">
        <v>731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topLeftCell="A21" zoomScaleNormal="100" workbookViewId="0">
      <selection activeCell="B28" sqref="B28"/>
    </sheetView>
  </sheetViews>
  <sheetFormatPr baseColWidth="10" defaultColWidth="8.6640625" defaultRowHeight="14.4" x14ac:dyDescent="0.3"/>
  <cols>
    <col min="1" max="1" width="81.33203125" customWidth="1"/>
    <col min="2" max="2" width="50" customWidth="1"/>
    <col min="3" max="3" width="14" customWidth="1"/>
  </cols>
  <sheetData>
    <row r="1" spans="1:2" ht="17.25" customHeight="1" x14ac:dyDescent="0.3">
      <c r="A1" s="6" t="s">
        <v>732</v>
      </c>
    </row>
    <row r="2" spans="1:2" ht="15" customHeight="1" x14ac:dyDescent="0.3">
      <c r="A2" s="5" t="s">
        <v>733</v>
      </c>
    </row>
    <row r="4" spans="1:2" ht="15" customHeight="1" x14ac:dyDescent="0.3">
      <c r="A4" s="7" t="s">
        <v>734</v>
      </c>
    </row>
    <row r="5" spans="1:2" ht="15" customHeight="1" x14ac:dyDescent="0.3">
      <c r="A5" s="8" t="s">
        <v>735</v>
      </c>
      <c r="B5" s="9">
        <f>COUNTBLANK(Billetes_Brutos!D2:D147)</f>
        <v>29</v>
      </c>
    </row>
    <row r="6" spans="1:2" ht="15" customHeight="1" x14ac:dyDescent="0.3">
      <c r="A6" s="8" t="s">
        <v>736</v>
      </c>
      <c r="B6" s="9">
        <f>COUNTBLANK(Billetes_Brutos!E2:E147)</f>
        <v>15</v>
      </c>
    </row>
    <row r="7" spans="1:2" ht="15" customHeight="1" x14ac:dyDescent="0.3">
      <c r="A7" s="8" t="s">
        <v>737</v>
      </c>
      <c r="B7" s="9">
        <f>COUNTBLANK(Billetes_Brutos!L2:L147)</f>
        <v>5</v>
      </c>
    </row>
    <row r="9" spans="1:2" ht="15" customHeight="1" x14ac:dyDescent="0.3">
      <c r="A9" s="7" t="s">
        <v>738</v>
      </c>
    </row>
    <row r="10" spans="1:2" ht="15" customHeight="1" x14ac:dyDescent="0.3">
      <c r="A10" s="8" t="s">
        <v>739</v>
      </c>
      <c r="B10" s="9">
        <f>COUNTA(Billetes_Brutos!A2:A147)</f>
        <v>146</v>
      </c>
    </row>
    <row r="11" spans="1:2" ht="15" customHeight="1" x14ac:dyDescent="0.3">
      <c r="A11" s="8" t="s">
        <v>740</v>
      </c>
      <c r="B11" s="9">
        <f>COUNTA(Billetes_Brutos!G2:G147)</f>
        <v>146</v>
      </c>
    </row>
    <row r="13" spans="1:2" ht="15" customHeight="1" x14ac:dyDescent="0.3">
      <c r="A13" s="7" t="s">
        <v>741</v>
      </c>
    </row>
    <row r="14" spans="1:2" ht="15" customHeight="1" x14ac:dyDescent="0.3">
      <c r="A14" s="8" t="s">
        <v>742</v>
      </c>
      <c r="B14" s="9">
        <f>COUNTIF(Billetes_Brutos!K2:K147,"Anulado")</f>
        <v>20</v>
      </c>
    </row>
    <row r="15" spans="1:2" ht="15" customHeight="1" x14ac:dyDescent="0.3">
      <c r="A15" s="8" t="s">
        <v>743</v>
      </c>
      <c r="B15" s="9">
        <f>COUNTIF(Billetes_Brutos!K2:K147,"Reembolsado")</f>
        <v>17</v>
      </c>
    </row>
    <row r="16" spans="1:2" ht="15" customHeight="1" x14ac:dyDescent="0.3">
      <c r="A16" s="8" t="s">
        <v>744</v>
      </c>
      <c r="B16" s="9">
        <f>COUNTIF(Billetes_Brutos!J2:J147,"1era")</f>
        <v>18</v>
      </c>
    </row>
    <row r="17" spans="1:2" ht="15" customHeight="1" x14ac:dyDescent="0.3">
      <c r="A17" s="8" t="s">
        <v>745</v>
      </c>
      <c r="B17" s="9">
        <f>COUNTIF(Billetes_Brutos!F2:F147,"Abonado")</f>
        <v>62</v>
      </c>
    </row>
    <row r="19" spans="1:2" ht="15" customHeight="1" x14ac:dyDescent="0.3">
      <c r="A19" s="7" t="s">
        <v>746</v>
      </c>
    </row>
    <row r="20" spans="1:2" ht="15" customHeight="1" x14ac:dyDescent="0.3">
      <c r="A20" s="8" t="s">
        <v>747</v>
      </c>
      <c r="B20" s="9">
        <f>SUMPRODUCT((Billetes_Brutos!J2:J147="1era")*(Billetes_Brutos!K2:K147="Anulado"))</f>
        <v>3</v>
      </c>
    </row>
    <row r="21" spans="1:2" ht="15" customHeight="1" x14ac:dyDescent="0.3">
      <c r="A21" s="8" t="s">
        <v>748</v>
      </c>
      <c r="B21" s="9">
        <f>COUNTIFS(Billetes_Brutos!J2:J147,"1era",Billetes_Brutos!K2:K147,"Anulado")</f>
        <v>3</v>
      </c>
    </row>
    <row r="23" spans="1:2" ht="15" customHeight="1" x14ac:dyDescent="0.3">
      <c r="A23" s="7" t="s">
        <v>749</v>
      </c>
    </row>
    <row r="24" spans="1:2" ht="15" customHeight="1" x14ac:dyDescent="0.3">
      <c r="A24" s="8" t="s">
        <v>750</v>
      </c>
      <c r="B24" s="9">
        <f>SUMPRODUCT(COUNTIF(Billetes_Brutos!J2:J147,{"1era";"1ra";"primera"}))</f>
        <v>70</v>
      </c>
    </row>
    <row r="25" spans="1:2" ht="15" customHeight="1" x14ac:dyDescent="0.3">
      <c r="A25" s="8" t="s">
        <v>751</v>
      </c>
      <c r="B25" s="9">
        <f>SUMPRODUCT(COUNTIF(Billetes_Brutos!J2:J147,{"2da";"segunda";"2nda"}))</f>
        <v>76</v>
      </c>
    </row>
    <row r="27" spans="1:2" ht="15" customHeight="1" x14ac:dyDescent="0.3">
      <c r="A27" s="7" t="s">
        <v>752</v>
      </c>
    </row>
    <row r="28" spans="1:2" ht="15" customHeight="1" x14ac:dyDescent="0.3">
      <c r="A28" s="8" t="s">
        <v>753</v>
      </c>
      <c r="B28" s="9">
        <f>SUMPRODUCT((COUNTIF(Billetes_Brutos!A2:A147,Billetes_Brutos!A2:A147)&gt;1)*1)</f>
        <v>12</v>
      </c>
    </row>
    <row r="30" spans="1:2" ht="15" customHeight="1" x14ac:dyDescent="0.3">
      <c r="A30" s="7" t="s">
        <v>754</v>
      </c>
    </row>
    <row r="31" spans="1:2" ht="15" customHeight="1" x14ac:dyDescent="0.3">
      <c r="A31" s="8" t="s">
        <v>755</v>
      </c>
      <c r="B31" s="9">
        <f>COUNTIFS(Billetes_Brutos!G2:G147,"Bogota Central",Billetes_Brutos!K2:K147,"Pagado")</f>
        <v>3</v>
      </c>
    </row>
    <row r="32" spans="1:2" ht="15" customHeight="1" x14ac:dyDescent="0.3">
      <c r="A32" s="8" t="s">
        <v>756</v>
      </c>
      <c r="B32" s="9">
        <f>SUMIF(Billetes_Brutos!K2:K147,"Pagado",Billetes_Brutos!L2:L147)</f>
        <v>19879100</v>
      </c>
    </row>
    <row r="34" spans="1:2" ht="15" customHeight="1" x14ac:dyDescent="0.3">
      <c r="A34" s="7" t="s">
        <v>757</v>
      </c>
    </row>
    <row r="35" spans="1:2" ht="15" customHeight="1" x14ac:dyDescent="0.3">
      <c r="A35" s="8" t="s">
        <v>758</v>
      </c>
      <c r="B35" s="9">
        <f>COUNTA(Billetes_Brutos!A2:A147)</f>
        <v>146</v>
      </c>
    </row>
    <row r="36" spans="1:2" ht="15" customHeight="1" x14ac:dyDescent="0.3">
      <c r="A36" s="8" t="s">
        <v>759</v>
      </c>
      <c r="B36" s="9">
        <f>COUNTA(Billetes_Limpios!A2:A141)</f>
        <v>140</v>
      </c>
    </row>
    <row r="37" spans="1:2" ht="15" customHeight="1" x14ac:dyDescent="0.3">
      <c r="A37" s="8" t="s">
        <v>760</v>
      </c>
      <c r="B37" s="9">
        <f>COUNTIF(Billetes_Limpios!D2:D141,"Sin correo")</f>
        <v>27</v>
      </c>
    </row>
    <row r="38" spans="1:2" ht="15" customHeight="1" x14ac:dyDescent="0.3">
      <c r="A38" s="8" t="s">
        <v>761</v>
      </c>
      <c r="B38" s="9">
        <f>COUNTIF(Billetes_Limpios!L2:L141,"Por confirmar")</f>
        <v>5</v>
      </c>
    </row>
    <row r="39" spans="1:2" ht="15" customHeight="1" x14ac:dyDescent="0.3">
      <c r="A39" s="8" t="s">
        <v>762</v>
      </c>
      <c r="B39" s="9">
        <f>SUMIF(Billetes_Limpios!K2:K141,"Pagado",Billetes_Limpios!L2:L141)</f>
        <v>18664300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/>
  </sheetViews>
  <sheetFormatPr baseColWidth="10" defaultColWidth="8.6640625" defaultRowHeight="14.4" x14ac:dyDescent="0.3"/>
  <cols>
    <col min="1" max="1" width="26" customWidth="1"/>
    <col min="2" max="2" width="18" customWidth="1"/>
  </cols>
  <sheetData>
    <row r="1" spans="1:2" ht="15" customHeight="1" x14ac:dyDescent="0.3">
      <c r="A1" s="1" t="s">
        <v>763</v>
      </c>
      <c r="B1" s="1" t="s">
        <v>764</v>
      </c>
    </row>
    <row r="2" spans="1:2" ht="15" customHeight="1" x14ac:dyDescent="0.3">
      <c r="A2" s="3" t="s">
        <v>37</v>
      </c>
      <c r="B2" s="3" t="s">
        <v>765</v>
      </c>
    </row>
    <row r="3" spans="1:2" ht="15" customHeight="1" x14ac:dyDescent="0.3">
      <c r="A3" s="3" t="s">
        <v>47</v>
      </c>
      <c r="B3" s="3" t="s">
        <v>765</v>
      </c>
    </row>
    <row r="4" spans="1:2" ht="15" customHeight="1" x14ac:dyDescent="0.3">
      <c r="A4" s="3" t="s">
        <v>100</v>
      </c>
      <c r="B4" s="3" t="s">
        <v>765</v>
      </c>
    </row>
    <row r="5" spans="1:2" ht="15" customHeight="1" x14ac:dyDescent="0.3">
      <c r="A5" s="3" t="s">
        <v>78</v>
      </c>
      <c r="B5" s="3" t="s">
        <v>766</v>
      </c>
    </row>
    <row r="6" spans="1:2" ht="15" customHeight="1" x14ac:dyDescent="0.3">
      <c r="A6" s="3" t="s">
        <v>26</v>
      </c>
      <c r="B6" s="3" t="s">
        <v>766</v>
      </c>
    </row>
    <row r="7" spans="1:2" ht="15" customHeight="1" x14ac:dyDescent="0.3">
      <c r="A7" s="3" t="s">
        <v>55</v>
      </c>
      <c r="B7" s="3" t="s">
        <v>766</v>
      </c>
    </row>
    <row r="9" spans="1:2" ht="15" customHeight="1" x14ac:dyDescent="0.3">
      <c r="A9" s="5" t="s">
        <v>767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3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2" width="11" customWidth="1"/>
    <col min="3" max="3" width="18" customWidth="1"/>
    <col min="4" max="4" width="29.88671875" customWidth="1"/>
    <col min="5" max="5" width="18.77734375" customWidth="1"/>
    <col min="6" max="6" width="13" customWidth="1"/>
    <col min="7" max="8" width="18" customWidth="1"/>
    <col min="9" max="9" width="13" customWidth="1"/>
    <col min="10" max="10" width="10" customWidth="1"/>
    <col min="11" max="11" width="13" customWidth="1"/>
    <col min="12" max="12" width="15" customWidth="1"/>
    <col min="13" max="13" width="13.88671875" customWidth="1"/>
  </cols>
  <sheetData>
    <row r="1" spans="1:1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3">
      <c r="A2" s="3" t="str">
        <f>Billetes_Brutos!A2</f>
        <v>1047</v>
      </c>
      <c r="B2" s="3" t="str">
        <f>Billetes_Brutos!B2</f>
        <v>22</v>
      </c>
      <c r="C2" s="3" t="str">
        <f>Billetes_Brutos!C2</f>
        <v>Santiago Sanchez</v>
      </c>
      <c r="D2" s="3" t="str">
        <f>IF(Billetes_Brutos!D2="","Sin correo",Billetes_Brutos!D2)</f>
        <v>santiago.sanchez22@correo.co</v>
      </c>
      <c r="E2" s="3" t="str">
        <f>IF(Billetes_Brutos!E2="","No disponible",Billetes_Brutos!E2)</f>
        <v>11/01/1974</v>
      </c>
      <c r="F2" s="3" t="str">
        <f>Billetes_Brutos!F2</f>
        <v>Ocasional</v>
      </c>
      <c r="G2" s="3" t="str">
        <f>Billetes_Brutos!G2</f>
        <v>Cartagena</v>
      </c>
      <c r="H2" s="3" t="str">
        <f>Billetes_Brutos!H2</f>
        <v>Bucaramanga</v>
      </c>
      <c r="I2" s="3" t="str">
        <f>Billetes_Brutos!I2</f>
        <v>13/03/2026</v>
      </c>
      <c r="J2" s="3" t="str">
        <f>Billetes_Brutos!O2</f>
        <v>Segunda</v>
      </c>
      <c r="K2" s="3" t="str">
        <f>Billetes_Brutos!K2</f>
        <v>Pagado</v>
      </c>
      <c r="L2" s="4">
        <f>IF(Billetes_Brutos!L2="","Por confirmar",Billetes_Brutos!L2)</f>
        <v>47800</v>
      </c>
      <c r="M2" s="3" t="str">
        <f>Billetes_Brutos!M2</f>
        <v>19/12/2025</v>
      </c>
    </row>
    <row r="3" spans="1:13" ht="15" customHeight="1" x14ac:dyDescent="0.3">
      <c r="A3" s="3" t="str">
        <f>Billetes_Brutos!A3</f>
        <v>1079</v>
      </c>
      <c r="B3" s="3" t="str">
        <f>Billetes_Brutos!B3</f>
        <v>45</v>
      </c>
      <c r="C3" s="3" t="str">
        <f>Billetes_Brutos!C3</f>
        <v>Gabriela Perez</v>
      </c>
      <c r="D3" s="3" t="str">
        <f>IF(Billetes_Brutos!D3="","Sin correo",Billetes_Brutos!D3)</f>
        <v>gabriela.perez45@correo.co</v>
      </c>
      <c r="E3" s="3" t="str">
        <f>IF(Billetes_Brutos!E3="","No disponible",Billetes_Brutos!E3)</f>
        <v>21/03/1992</v>
      </c>
      <c r="F3" s="3" t="str">
        <f>Billetes_Brutos!F3</f>
        <v>Abonado</v>
      </c>
      <c r="G3" s="3" t="str">
        <f>Billetes_Brutos!G3</f>
        <v>Manizales</v>
      </c>
      <c r="H3" s="3" t="str">
        <f>Billetes_Brutos!H3</f>
        <v>Pereira</v>
      </c>
      <c r="I3" s="3" t="str">
        <f>Billetes_Brutos!I3</f>
        <v>13/03/2026</v>
      </c>
      <c r="J3" s="3" t="str">
        <f>Billetes_Brutos!O3</f>
        <v>Primera</v>
      </c>
      <c r="K3" s="3" t="str">
        <f>Billetes_Brutos!K3</f>
        <v>Pagado</v>
      </c>
      <c r="L3" s="4">
        <f>IF(Billetes_Brutos!L3="","Por confirmar",Billetes_Brutos!L3)</f>
        <v>167300</v>
      </c>
      <c r="M3" s="3" t="str">
        <f>Billetes_Brutos!M3</f>
        <v>31/12/2025</v>
      </c>
    </row>
    <row r="4" spans="1:13" ht="15" customHeight="1" x14ac:dyDescent="0.3">
      <c r="A4" s="3" t="str">
        <f>Billetes_Brutos!A4</f>
        <v>1016</v>
      </c>
      <c r="B4" s="3" t="str">
        <f>Billetes_Brutos!B4</f>
        <v>60</v>
      </c>
      <c r="C4" s="3" t="str">
        <f>Billetes_Brutos!C4</f>
        <v>Mateo Sanchez</v>
      </c>
      <c r="D4" s="3" t="str">
        <f>IF(Billetes_Brutos!D4="","Sin correo",Billetes_Brutos!D4)</f>
        <v>mateo.sanchez60@correo.co</v>
      </c>
      <c r="E4" s="3" t="str">
        <f>IF(Billetes_Brutos!E4="","No disponible",Billetes_Brutos!E4)</f>
        <v>14/10/1963</v>
      </c>
      <c r="F4" s="3" t="str">
        <f>Billetes_Brutos!F4</f>
        <v>Abonado</v>
      </c>
      <c r="G4" s="3" t="str">
        <f>Billetes_Brutos!G4</f>
        <v>Santa Marta</v>
      </c>
      <c r="H4" s="3" t="str">
        <f>Billetes_Brutos!H4</f>
        <v>Bogota Central</v>
      </c>
      <c r="I4" s="3" t="str">
        <f>Billetes_Brutos!I4</f>
        <v>24/01/2026</v>
      </c>
      <c r="J4" s="3" t="str">
        <f>Billetes_Brutos!O4</f>
        <v>Primera</v>
      </c>
      <c r="K4" s="3" t="str">
        <f>Billetes_Brutos!K4</f>
        <v>Pagado</v>
      </c>
      <c r="L4" s="4">
        <f>IF(Billetes_Brutos!L4="","Por confirmar",Billetes_Brutos!L4)</f>
        <v>103800</v>
      </c>
      <c r="M4" s="3" t="str">
        <f>Billetes_Brutos!M4</f>
        <v>11/02/2026</v>
      </c>
    </row>
    <row r="5" spans="1:13" ht="15" customHeight="1" x14ac:dyDescent="0.3">
      <c r="A5" s="3" t="str">
        <f>Billetes_Brutos!A5</f>
        <v>1057</v>
      </c>
      <c r="B5" s="3" t="str">
        <f>Billetes_Brutos!B5</f>
        <v>29</v>
      </c>
      <c r="C5" s="3" t="str">
        <f>Billetes_Brutos!C5</f>
        <v>Mateo Torres</v>
      </c>
      <c r="D5" s="3" t="str">
        <f>IF(Billetes_Brutos!D5="","Sin correo",Billetes_Brutos!D5)</f>
        <v>Sin correo</v>
      </c>
      <c r="E5" s="3" t="str">
        <f>IF(Billetes_Brutos!E5="","No disponible",Billetes_Brutos!E5)</f>
        <v>01/12/1983</v>
      </c>
      <c r="F5" s="3" t="str">
        <f>Billetes_Brutos!F5</f>
        <v>Ocasional</v>
      </c>
      <c r="G5" s="3" t="str">
        <f>Billetes_Brutos!G5</f>
        <v>Bogota Central</v>
      </c>
      <c r="H5" s="3" t="str">
        <f>Billetes_Brutos!H5</f>
        <v>Medellin</v>
      </c>
      <c r="I5" s="3" t="str">
        <f>Billetes_Brutos!I5</f>
        <v>28/02/2026</v>
      </c>
      <c r="J5" s="3" t="str">
        <f>Billetes_Brutos!O5</f>
        <v>Segunda</v>
      </c>
      <c r="K5" s="3" t="str">
        <f>Billetes_Brutos!K5</f>
        <v>Anulado</v>
      </c>
      <c r="L5" s="4">
        <f>IF(Billetes_Brutos!L5="","Por confirmar",Billetes_Brutos!L5)</f>
        <v>306500</v>
      </c>
      <c r="M5" s="3" t="str">
        <f>Billetes_Brutos!M5</f>
        <v>15/05/2026</v>
      </c>
    </row>
    <row r="6" spans="1:13" ht="15" customHeight="1" x14ac:dyDescent="0.3">
      <c r="A6" s="3" t="str">
        <f>Billetes_Brutos!A6</f>
        <v>1076</v>
      </c>
      <c r="B6" s="3" t="str">
        <f>Billetes_Brutos!B6</f>
        <v>36</v>
      </c>
      <c r="C6" s="3" t="str">
        <f>Billetes_Brutos!C6</f>
        <v>Daniela Rodriguez</v>
      </c>
      <c r="D6" s="3" t="str">
        <f>IF(Billetes_Brutos!D6="","Sin correo",Billetes_Brutos!D6)</f>
        <v>daniela.rodriguez36@correo.co</v>
      </c>
      <c r="E6" s="3" t="str">
        <f>IF(Billetes_Brutos!E6="","No disponible",Billetes_Brutos!E6)</f>
        <v>No disponible</v>
      </c>
      <c r="F6" s="3" t="str">
        <f>Billetes_Brutos!F6</f>
        <v>Abonado</v>
      </c>
      <c r="G6" s="3" t="str">
        <f>Billetes_Brutos!G6</f>
        <v>Manizales</v>
      </c>
      <c r="H6" s="3" t="str">
        <f>Billetes_Brutos!H6</f>
        <v>Bucaramanga</v>
      </c>
      <c r="I6" s="3" t="str">
        <f>Billetes_Brutos!I6</f>
        <v>22/06/2026</v>
      </c>
      <c r="J6" s="3" t="str">
        <f>Billetes_Brutos!O6</f>
        <v>Segunda</v>
      </c>
      <c r="K6" s="3" t="str">
        <f>Billetes_Brutos!K6</f>
        <v>Pagado</v>
      </c>
      <c r="L6" s="4">
        <f>IF(Billetes_Brutos!L6="","Por confirmar",Billetes_Brutos!L6)</f>
        <v>271200</v>
      </c>
      <c r="M6" s="3" t="str">
        <f>Billetes_Brutos!M6</f>
        <v>04/02/2026</v>
      </c>
    </row>
    <row r="7" spans="1:13" ht="15" customHeight="1" x14ac:dyDescent="0.3">
      <c r="A7" s="3" t="str">
        <f>Billetes_Brutos!A7</f>
        <v>1022</v>
      </c>
      <c r="B7" s="3" t="str">
        <f>Billetes_Brutos!B7</f>
        <v>24</v>
      </c>
      <c r="C7" s="3" t="str">
        <f>Billetes_Brutos!C7</f>
        <v>Sofia Martinez</v>
      </c>
      <c r="D7" s="3" t="str">
        <f>IF(Billetes_Brutos!D7="","Sin correo",Billetes_Brutos!D7)</f>
        <v>sofia.martinez24@correo.co</v>
      </c>
      <c r="E7" s="3" t="str">
        <f>IF(Billetes_Brutos!E7="","No disponible",Billetes_Brutos!E7)</f>
        <v>20/02/1982</v>
      </c>
      <c r="F7" s="3" t="str">
        <f>Billetes_Brutos!F7</f>
        <v>Abonado</v>
      </c>
      <c r="G7" s="3" t="str">
        <f>Billetes_Brutos!G7</f>
        <v>Santa Marta</v>
      </c>
      <c r="H7" s="3" t="str">
        <f>Billetes_Brutos!H7</f>
        <v>Cartagena</v>
      </c>
      <c r="I7" s="3" t="str">
        <f>Billetes_Brutos!I7</f>
        <v>19/06/2026</v>
      </c>
      <c r="J7" s="3" t="str">
        <f>Billetes_Brutos!O7</f>
        <v>Primera</v>
      </c>
      <c r="K7" s="3" t="str">
        <f>Billetes_Brutos!K7</f>
        <v>Reembolsado</v>
      </c>
      <c r="L7" s="4">
        <f>IF(Billetes_Brutos!L7="","Por confirmar",Billetes_Brutos!L7)</f>
        <v>76700</v>
      </c>
      <c r="M7" s="3" t="str">
        <f>Billetes_Brutos!M7</f>
        <v>28/11/2025</v>
      </c>
    </row>
    <row r="8" spans="1:13" ht="15" customHeight="1" x14ac:dyDescent="0.3">
      <c r="A8" s="3" t="str">
        <f>Billetes_Brutos!A8</f>
        <v>1065</v>
      </c>
      <c r="B8" s="3" t="str">
        <f>Billetes_Brutos!B8</f>
        <v>56</v>
      </c>
      <c r="C8" s="3" t="str">
        <f>Billetes_Brutos!C8</f>
        <v>Sebastian Hernandez</v>
      </c>
      <c r="D8" s="3" t="str">
        <f>IF(Billetes_Brutos!D8="","Sin correo",Billetes_Brutos!D8)</f>
        <v>sebastian.hernandez56@correo.co</v>
      </c>
      <c r="E8" s="3" t="str">
        <f>IF(Billetes_Brutos!E8="","No disponible",Billetes_Brutos!E8)</f>
        <v>08/11/1991</v>
      </c>
      <c r="F8" s="3" t="str">
        <f>Billetes_Brutos!F8</f>
        <v>Abonado</v>
      </c>
      <c r="G8" s="3" t="str">
        <f>Billetes_Brutos!G8</f>
        <v>Bucaramanga</v>
      </c>
      <c r="H8" s="3" t="str">
        <f>Billetes_Brutos!H8</f>
        <v>Manizales</v>
      </c>
      <c r="I8" s="3" t="str">
        <f>Billetes_Brutos!I8</f>
        <v>30/06/2026</v>
      </c>
      <c r="J8" s="3" t="str">
        <f>Billetes_Brutos!O8</f>
        <v>Segunda</v>
      </c>
      <c r="K8" s="3" t="str">
        <f>Billetes_Brutos!K8</f>
        <v>Pagado</v>
      </c>
      <c r="L8" s="4">
        <f>IF(Billetes_Brutos!L8="","Por confirmar",Billetes_Brutos!L8)</f>
        <v>270700</v>
      </c>
      <c r="M8" s="3" t="str">
        <f>Billetes_Brutos!M8</f>
        <v>09/12/2025</v>
      </c>
    </row>
    <row r="9" spans="1:13" ht="15" customHeight="1" x14ac:dyDescent="0.3">
      <c r="A9" s="3" t="str">
        <f>Billetes_Brutos!A9</f>
        <v>1004</v>
      </c>
      <c r="B9" s="3" t="str">
        <f>Billetes_Brutos!B9</f>
        <v>24</v>
      </c>
      <c r="C9" s="3" t="str">
        <f>Billetes_Brutos!C9</f>
        <v>Daniela Hernandez</v>
      </c>
      <c r="D9" s="3" t="str">
        <f>IF(Billetes_Brutos!D9="","Sin correo",Billetes_Brutos!D9)</f>
        <v>daniela.hernandez24@correo.co</v>
      </c>
      <c r="E9" s="3" t="str">
        <f>IF(Billetes_Brutos!E9="","No disponible",Billetes_Brutos!E9)</f>
        <v>28/05/1961</v>
      </c>
      <c r="F9" s="3" t="str">
        <f>Billetes_Brutos!F9</f>
        <v>Abonado</v>
      </c>
      <c r="G9" s="3" t="str">
        <f>Billetes_Brutos!G9</f>
        <v>Santa Marta</v>
      </c>
      <c r="H9" s="3" t="str">
        <f>Billetes_Brutos!H9</f>
        <v>Barranquilla</v>
      </c>
      <c r="I9" s="3" t="str">
        <f>Billetes_Brutos!I9</f>
        <v>11/02/2026</v>
      </c>
      <c r="J9" s="3" t="str">
        <f>Billetes_Brutos!O9</f>
        <v>Segunda</v>
      </c>
      <c r="K9" s="3" t="str">
        <f>Billetes_Brutos!K9</f>
        <v>Pagado</v>
      </c>
      <c r="L9" s="4">
        <f>IF(Billetes_Brutos!L9="","Por confirmar",Billetes_Brutos!L9)</f>
        <v>221000</v>
      </c>
      <c r="M9" s="3" t="str">
        <f>Billetes_Brutos!M9</f>
        <v>23/03/2026</v>
      </c>
    </row>
    <row r="10" spans="1:13" ht="15" customHeight="1" x14ac:dyDescent="0.3">
      <c r="A10" s="3" t="str">
        <f>Billetes_Brutos!A10</f>
        <v>1115</v>
      </c>
      <c r="B10" s="3" t="str">
        <f>Billetes_Brutos!B10</f>
        <v>51</v>
      </c>
      <c r="C10" s="3" t="str">
        <f>Billetes_Brutos!C10</f>
        <v>Mateo Gonzalez</v>
      </c>
      <c r="D10" s="3" t="str">
        <f>IF(Billetes_Brutos!D10="","Sin correo",Billetes_Brutos!D10)</f>
        <v>mateo.gonzalez51@correo.co</v>
      </c>
      <c r="E10" s="3" t="str">
        <f>IF(Billetes_Brutos!E10="","No disponible",Billetes_Brutos!E10)</f>
        <v>19/04/1964</v>
      </c>
      <c r="F10" s="3" t="str">
        <f>Billetes_Brutos!F10</f>
        <v>Ocasional</v>
      </c>
      <c r="G10" s="3" t="str">
        <f>Billetes_Brutos!G10</f>
        <v>Cali</v>
      </c>
      <c r="H10" s="3" t="str">
        <f>Billetes_Brutos!H10</f>
        <v>Bogota Central</v>
      </c>
      <c r="I10" s="3" t="str">
        <f>Billetes_Brutos!I10</f>
        <v>01/04/2026</v>
      </c>
      <c r="J10" s="3" t="str">
        <f>Billetes_Brutos!O10</f>
        <v>Segunda</v>
      </c>
      <c r="K10" s="3" t="str">
        <f>Billetes_Brutos!K10</f>
        <v>Pagado</v>
      </c>
      <c r="L10" s="4">
        <f>IF(Billetes_Brutos!L10="","Por confirmar",Billetes_Brutos!L10)</f>
        <v>273400</v>
      </c>
      <c r="M10" s="3" t="str">
        <f>Billetes_Brutos!M10</f>
        <v>25/04/2026</v>
      </c>
    </row>
    <row r="11" spans="1:13" ht="15" customHeight="1" x14ac:dyDescent="0.3">
      <c r="A11" s="3" t="str">
        <f>Billetes_Brutos!A11</f>
        <v>1064</v>
      </c>
      <c r="B11" s="3" t="str">
        <f>Billetes_Brutos!B11</f>
        <v>47</v>
      </c>
      <c r="C11" s="3" t="str">
        <f>Billetes_Brutos!C11</f>
        <v>Sofia Torres</v>
      </c>
      <c r="D11" s="3" t="str">
        <f>IF(Billetes_Brutos!D11="","Sin correo",Billetes_Brutos!D11)</f>
        <v>sofia.torres47@correo.co</v>
      </c>
      <c r="E11" s="3" t="str">
        <f>IF(Billetes_Brutos!E11="","No disponible",Billetes_Brutos!E11)</f>
        <v>01/05/1968</v>
      </c>
      <c r="F11" s="3" t="str">
        <f>Billetes_Brutos!F11</f>
        <v>Ocasional</v>
      </c>
      <c r="G11" s="3" t="str">
        <f>Billetes_Brutos!G11</f>
        <v>Santa Marta</v>
      </c>
      <c r="H11" s="3" t="str">
        <f>Billetes_Brutos!H11</f>
        <v>Manizales</v>
      </c>
      <c r="I11" s="3" t="str">
        <f>Billetes_Brutos!I11</f>
        <v>30/03/2026</v>
      </c>
      <c r="J11" s="3" t="str">
        <f>Billetes_Brutos!O11</f>
        <v>Primera</v>
      </c>
      <c r="K11" s="3" t="str">
        <f>Billetes_Brutos!K11</f>
        <v>Pagado</v>
      </c>
      <c r="L11" s="4">
        <f>IF(Billetes_Brutos!L11="","Por confirmar",Billetes_Brutos!L11)</f>
        <v>170200</v>
      </c>
      <c r="M11" s="3" t="str">
        <f>Billetes_Brutos!M11</f>
        <v>22/01/2026</v>
      </c>
    </row>
    <row r="12" spans="1:13" ht="15" customHeight="1" x14ac:dyDescent="0.3">
      <c r="A12" s="3" t="str">
        <f>Billetes_Brutos!A12</f>
        <v>1067</v>
      </c>
      <c r="B12" s="3" t="str">
        <f>Billetes_Brutos!B12</f>
        <v>5</v>
      </c>
      <c r="C12" s="3" t="str">
        <f>Billetes_Brutos!C12</f>
        <v>Paula Lopez</v>
      </c>
      <c r="D12" s="3" t="str">
        <f>IF(Billetes_Brutos!D12="","Sin correo",Billetes_Brutos!D12)</f>
        <v>paula.lopez5@correo.co</v>
      </c>
      <c r="E12" s="3" t="str">
        <f>IF(Billetes_Brutos!E12="","No disponible",Billetes_Brutos!E12)</f>
        <v>16/03/1962</v>
      </c>
      <c r="F12" s="3" t="str">
        <f>Billetes_Brutos!F12</f>
        <v>Ocasional</v>
      </c>
      <c r="G12" s="3" t="str">
        <f>Billetes_Brutos!G12</f>
        <v>Santa Marta</v>
      </c>
      <c r="H12" s="3" t="str">
        <f>Billetes_Brutos!H12</f>
        <v>Pereira</v>
      </c>
      <c r="I12" s="3" t="str">
        <f>Billetes_Brutos!I12</f>
        <v>23/03/2026</v>
      </c>
      <c r="J12" s="3" t="str">
        <f>Billetes_Brutos!O12</f>
        <v>Segunda</v>
      </c>
      <c r="K12" s="3" t="str">
        <f>Billetes_Brutos!K12</f>
        <v>Pagado</v>
      </c>
      <c r="L12" s="4">
        <f>IF(Billetes_Brutos!L12="","Por confirmar",Billetes_Brutos!L12)</f>
        <v>284900</v>
      </c>
      <c r="M12" s="3" t="str">
        <f>Billetes_Brutos!M12</f>
        <v>10/11/2025</v>
      </c>
    </row>
    <row r="13" spans="1:13" ht="15" customHeight="1" x14ac:dyDescent="0.3">
      <c r="A13" s="3" t="str">
        <f>Billetes_Brutos!A13</f>
        <v>1007</v>
      </c>
      <c r="B13" s="3" t="str">
        <f>Billetes_Brutos!B13</f>
        <v>24</v>
      </c>
      <c r="C13" s="3" t="str">
        <f>Billetes_Brutos!C13</f>
        <v>Maria Martinez</v>
      </c>
      <c r="D13" s="3" t="str">
        <f>IF(Billetes_Brutos!D13="","Sin correo",Billetes_Brutos!D13)</f>
        <v>maria.martinez24@correo.co</v>
      </c>
      <c r="E13" s="3" t="str">
        <f>IF(Billetes_Brutos!E13="","No disponible",Billetes_Brutos!E13)</f>
        <v>No disponible</v>
      </c>
      <c r="F13" s="3" t="str">
        <f>Billetes_Brutos!F13</f>
        <v>Abonado</v>
      </c>
      <c r="G13" s="3" t="str">
        <f>Billetes_Brutos!G13</f>
        <v>Medellin</v>
      </c>
      <c r="H13" s="3" t="str">
        <f>Billetes_Brutos!H13</f>
        <v>Cali</v>
      </c>
      <c r="I13" s="3" t="str">
        <f>Billetes_Brutos!I13</f>
        <v>10/06/2026</v>
      </c>
      <c r="J13" s="3" t="str">
        <f>Billetes_Brutos!O13</f>
        <v>Primera</v>
      </c>
      <c r="K13" s="3" t="str">
        <f>Billetes_Brutos!K13</f>
        <v>Anulado</v>
      </c>
      <c r="L13" s="4">
        <f>IF(Billetes_Brutos!L13="","Por confirmar",Billetes_Brutos!L13)</f>
        <v>62500</v>
      </c>
      <c r="M13" s="3" t="str">
        <f>Billetes_Brutos!M13</f>
        <v>06/02/2026</v>
      </c>
    </row>
    <row r="14" spans="1:13" ht="15" customHeight="1" x14ac:dyDescent="0.3">
      <c r="A14" s="3" t="str">
        <f>Billetes_Brutos!A14</f>
        <v>1089</v>
      </c>
      <c r="B14" s="3" t="str">
        <f>Billetes_Brutos!B14</f>
        <v>55</v>
      </c>
      <c r="C14" s="3" t="str">
        <f>Billetes_Brutos!C14</f>
        <v>Isabella Gonzalez</v>
      </c>
      <c r="D14" s="3" t="str">
        <f>IF(Billetes_Brutos!D14="","Sin correo",Billetes_Brutos!D14)</f>
        <v>isabella.gonzalez55@correo.co</v>
      </c>
      <c r="E14" s="3" t="str">
        <f>IF(Billetes_Brutos!E14="","No disponible",Billetes_Brutos!E14)</f>
        <v>29/12/1979</v>
      </c>
      <c r="F14" s="3" t="str">
        <f>Billetes_Brutos!F14</f>
        <v>Abonado</v>
      </c>
      <c r="G14" s="3" t="str">
        <f>Billetes_Brutos!G14</f>
        <v>Pereira</v>
      </c>
      <c r="H14" s="3" t="str">
        <f>Billetes_Brutos!H14</f>
        <v>Santa Marta</v>
      </c>
      <c r="I14" s="3" t="str">
        <f>Billetes_Brutos!I14</f>
        <v>09/06/2026</v>
      </c>
      <c r="J14" s="3" t="str">
        <f>Billetes_Brutos!O14</f>
        <v>Segunda</v>
      </c>
      <c r="K14" s="3" t="str">
        <f>Billetes_Brutos!K14</f>
        <v>Pagado</v>
      </c>
      <c r="L14" s="4">
        <f>IF(Billetes_Brutos!L14="","Por confirmar",Billetes_Brutos!L14)</f>
        <v>212500</v>
      </c>
      <c r="M14" s="3" t="str">
        <f>Billetes_Brutos!M14</f>
        <v>18/04/2026</v>
      </c>
    </row>
    <row r="15" spans="1:13" ht="15" customHeight="1" x14ac:dyDescent="0.3">
      <c r="A15" s="3" t="str">
        <f>Billetes_Brutos!A15</f>
        <v>1054</v>
      </c>
      <c r="B15" s="3" t="str">
        <f>Billetes_Brutos!B15</f>
        <v>14</v>
      </c>
      <c r="C15" s="3" t="str">
        <f>Billetes_Brutos!C15</f>
        <v>Sebastian Lopez</v>
      </c>
      <c r="D15" s="3" t="str">
        <f>IF(Billetes_Brutos!D15="","Sin correo",Billetes_Brutos!D15)</f>
        <v>sebastian.lopez14@correo.co</v>
      </c>
      <c r="E15" s="3" t="str">
        <f>IF(Billetes_Brutos!E15="","No disponible",Billetes_Brutos!E15)</f>
        <v>05/08/1970</v>
      </c>
      <c r="F15" s="3" t="str">
        <f>Billetes_Brutos!F15</f>
        <v>Abonado</v>
      </c>
      <c r="G15" s="3" t="str">
        <f>Billetes_Brutos!G15</f>
        <v>Cali</v>
      </c>
      <c r="H15" s="3" t="str">
        <f>Billetes_Brutos!H15</f>
        <v>Bogota Central</v>
      </c>
      <c r="I15" s="3" t="str">
        <f>Billetes_Brutos!I15</f>
        <v>15/04/2026</v>
      </c>
      <c r="J15" s="3" t="str">
        <f>Billetes_Brutos!O15</f>
        <v>Segunda</v>
      </c>
      <c r="K15" s="3" t="str">
        <f>Billetes_Brutos!K15</f>
        <v>Pagado</v>
      </c>
      <c r="L15" s="4">
        <f>IF(Billetes_Brutos!L15="","Por confirmar",Billetes_Brutos!L15)</f>
        <v>54000</v>
      </c>
      <c r="M15" s="3" t="str">
        <f>Billetes_Brutos!M15</f>
        <v>13/01/2026</v>
      </c>
    </row>
    <row r="16" spans="1:13" ht="15" customHeight="1" x14ac:dyDescent="0.3">
      <c r="A16" s="3" t="str">
        <f>Billetes_Brutos!A16</f>
        <v>1070</v>
      </c>
      <c r="B16" s="3" t="str">
        <f>Billetes_Brutos!B16</f>
        <v>40</v>
      </c>
      <c r="C16" s="3" t="str">
        <f>Billetes_Brutos!C16</f>
        <v>Andres Torres</v>
      </c>
      <c r="D16" s="3" t="str">
        <f>IF(Billetes_Brutos!D16="","Sin correo",Billetes_Brutos!D16)</f>
        <v>andres.torres40@correo.co</v>
      </c>
      <c r="E16" s="3" t="str">
        <f>IF(Billetes_Brutos!E16="","No disponible",Billetes_Brutos!E16)</f>
        <v>03/11/1967</v>
      </c>
      <c r="F16" s="3" t="str">
        <f>Billetes_Brutos!F16</f>
        <v>Abonado</v>
      </c>
      <c r="G16" s="3" t="str">
        <f>Billetes_Brutos!G16</f>
        <v>Manizales</v>
      </c>
      <c r="H16" s="3" t="str">
        <f>Billetes_Brutos!H16</f>
        <v>Cartagena</v>
      </c>
      <c r="I16" s="3" t="str">
        <f>Billetes_Brutos!I16</f>
        <v>28/04/2026</v>
      </c>
      <c r="J16" s="3" t="str">
        <f>Billetes_Brutos!O16</f>
        <v>Primera</v>
      </c>
      <c r="K16" s="3" t="str">
        <f>Billetes_Brutos!K16</f>
        <v>Pagado</v>
      </c>
      <c r="L16" s="4">
        <f>IF(Billetes_Brutos!L16="","Por confirmar",Billetes_Brutos!L16)</f>
        <v>172900</v>
      </c>
      <c r="M16" s="3" t="str">
        <f>Billetes_Brutos!M16</f>
        <v>13/01/2026</v>
      </c>
    </row>
    <row r="17" spans="1:13" ht="15" customHeight="1" x14ac:dyDescent="0.3">
      <c r="A17" s="3" t="str">
        <f>Billetes_Brutos!A17</f>
        <v>1084</v>
      </c>
      <c r="B17" s="3" t="str">
        <f>Billetes_Brutos!B17</f>
        <v>3</v>
      </c>
      <c r="C17" s="3" t="str">
        <f>Billetes_Brutos!C17</f>
        <v>David Lopez</v>
      </c>
      <c r="D17" s="3" t="str">
        <f>IF(Billetes_Brutos!D17="","Sin correo",Billetes_Brutos!D17)</f>
        <v>david.lopez3@correo.co</v>
      </c>
      <c r="E17" s="3" t="str">
        <f>IF(Billetes_Brutos!E17="","No disponible",Billetes_Brutos!E17)</f>
        <v>16/06/1960</v>
      </c>
      <c r="F17" s="3" t="str">
        <f>Billetes_Brutos!F17</f>
        <v>Ocasional</v>
      </c>
      <c r="G17" s="3" t="str">
        <f>Billetes_Brutos!G17</f>
        <v>Pereira</v>
      </c>
      <c r="H17" s="3" t="str">
        <f>Billetes_Brutos!H17</f>
        <v>Cucuta</v>
      </c>
      <c r="I17" s="3" t="str">
        <f>Billetes_Brutos!I17</f>
        <v>25/06/2026</v>
      </c>
      <c r="J17" s="3" t="str">
        <f>Billetes_Brutos!O17</f>
        <v>Primera</v>
      </c>
      <c r="K17" s="3" t="str">
        <f>Billetes_Brutos!K17</f>
        <v>Pagado</v>
      </c>
      <c r="L17" s="4">
        <f>IF(Billetes_Brutos!L17="","Por confirmar",Billetes_Brutos!L17)</f>
        <v>65200</v>
      </c>
      <c r="M17" s="3" t="str">
        <f>Billetes_Brutos!M17</f>
        <v>21/11/2025</v>
      </c>
    </row>
    <row r="18" spans="1:13" ht="15" customHeight="1" x14ac:dyDescent="0.3">
      <c r="A18" s="3" t="str">
        <f>Billetes_Brutos!A18</f>
        <v>1060</v>
      </c>
      <c r="B18" s="3" t="str">
        <f>Billetes_Brutos!B18</f>
        <v>17</v>
      </c>
      <c r="C18" s="3" t="str">
        <f>Billetes_Brutos!C18</f>
        <v>Juan Rodriguez</v>
      </c>
      <c r="D18" s="3" t="str">
        <f>IF(Billetes_Brutos!D18="","Sin correo",Billetes_Brutos!D18)</f>
        <v>juan.rodriguez17@correo.co</v>
      </c>
      <c r="E18" s="3" t="str">
        <f>IF(Billetes_Brutos!E18="","No disponible",Billetes_Brutos!E18)</f>
        <v>02/03/2001</v>
      </c>
      <c r="F18" s="3" t="str">
        <f>Billetes_Brutos!F18</f>
        <v>Abonado</v>
      </c>
      <c r="G18" s="3" t="str">
        <f>Billetes_Brutos!G18</f>
        <v>Santa Marta</v>
      </c>
      <c r="H18" s="3" t="str">
        <f>Billetes_Brutos!H18</f>
        <v>Manizales</v>
      </c>
      <c r="I18" s="3" t="str">
        <f>Billetes_Brutos!I18</f>
        <v>16/04/2026</v>
      </c>
      <c r="J18" s="3" t="str">
        <f>Billetes_Brutos!O18</f>
        <v>Primera</v>
      </c>
      <c r="K18" s="3" t="str">
        <f>Billetes_Brutos!K18</f>
        <v>Pagado</v>
      </c>
      <c r="L18" s="4">
        <f>IF(Billetes_Brutos!L18="","Por confirmar",Billetes_Brutos!L18)</f>
        <v>253000</v>
      </c>
      <c r="M18" s="3" t="str">
        <f>Billetes_Brutos!M18</f>
        <v>10/04/2026</v>
      </c>
    </row>
    <row r="19" spans="1:13" ht="15" customHeight="1" x14ac:dyDescent="0.3">
      <c r="A19" s="3" t="str">
        <f>Billetes_Brutos!A19</f>
        <v>1051</v>
      </c>
      <c r="B19" s="3" t="str">
        <f>Billetes_Brutos!B19</f>
        <v>18</v>
      </c>
      <c r="C19" s="3" t="str">
        <f>Billetes_Brutos!C19</f>
        <v>Valentina Gomez</v>
      </c>
      <c r="D19" s="3" t="str">
        <f>IF(Billetes_Brutos!D19="","Sin correo",Billetes_Brutos!D19)</f>
        <v>valentina.gomez18@correo.co</v>
      </c>
      <c r="E19" s="3" t="str">
        <f>IF(Billetes_Brutos!E19="","No disponible",Billetes_Brutos!E19)</f>
        <v>30/04/1966</v>
      </c>
      <c r="F19" s="3" t="str">
        <f>Billetes_Brutos!F19</f>
        <v>Ocasional</v>
      </c>
      <c r="G19" s="3" t="str">
        <f>Billetes_Brutos!G19</f>
        <v>Medellin</v>
      </c>
      <c r="H19" s="3" t="str">
        <f>Billetes_Brutos!H19</f>
        <v>Bogota Central</v>
      </c>
      <c r="I19" s="3" t="str">
        <f>Billetes_Brutos!I19</f>
        <v>27/05/2026</v>
      </c>
      <c r="J19" s="3" t="str">
        <f>Billetes_Brutos!O19</f>
        <v>Primera</v>
      </c>
      <c r="K19" s="3" t="str">
        <f>Billetes_Brutos!K19</f>
        <v>Pagado</v>
      </c>
      <c r="L19" s="4">
        <f>IF(Billetes_Brutos!L19="","Por confirmar",Billetes_Brutos!L19)</f>
        <v>95700</v>
      </c>
      <c r="M19" s="3" t="str">
        <f>Billetes_Brutos!M19</f>
        <v>14/11/2025</v>
      </c>
    </row>
    <row r="20" spans="1:13" ht="15" customHeight="1" x14ac:dyDescent="0.3">
      <c r="A20" s="3" t="str">
        <f>Billetes_Brutos!A20</f>
        <v>1099</v>
      </c>
      <c r="B20" s="3" t="str">
        <f>Billetes_Brutos!B20</f>
        <v>42</v>
      </c>
      <c r="C20" s="3" t="str">
        <f>Billetes_Brutos!C20</f>
        <v>Manuela Gonzalez</v>
      </c>
      <c r="D20" s="3" t="str">
        <f>IF(Billetes_Brutos!D20="","Sin correo",Billetes_Brutos!D20)</f>
        <v>manuela.gonzalez42@correo.co</v>
      </c>
      <c r="E20" s="3" t="str">
        <f>IF(Billetes_Brutos!E20="","No disponible",Billetes_Brutos!E20)</f>
        <v>17/07/1968</v>
      </c>
      <c r="F20" s="3" t="str">
        <f>Billetes_Brutos!F20</f>
        <v>Ocasional</v>
      </c>
      <c r="G20" s="3" t="str">
        <f>Billetes_Brutos!G20</f>
        <v>Medellin</v>
      </c>
      <c r="H20" s="3" t="str">
        <f>Billetes_Brutos!H20</f>
        <v>Manizales</v>
      </c>
      <c r="I20" s="3" t="str">
        <f>Billetes_Brutos!I20</f>
        <v>24/04/2026</v>
      </c>
      <c r="J20" s="3" t="str">
        <f>Billetes_Brutos!O20</f>
        <v>Segunda</v>
      </c>
      <c r="K20" s="3" t="str">
        <f>Billetes_Brutos!K20</f>
        <v>Pagado</v>
      </c>
      <c r="L20" s="4">
        <f>IF(Billetes_Brutos!L20="","Por confirmar",Billetes_Brutos!L20)</f>
        <v>60400</v>
      </c>
      <c r="M20" s="3" t="str">
        <f>Billetes_Brutos!M20</f>
        <v>10/03/2026</v>
      </c>
    </row>
    <row r="21" spans="1:13" ht="15" customHeight="1" x14ac:dyDescent="0.3">
      <c r="A21" s="3" t="str">
        <f>Billetes_Brutos!A21</f>
        <v>1019</v>
      </c>
      <c r="B21" s="3" t="str">
        <f>Billetes_Brutos!B21</f>
        <v>33</v>
      </c>
      <c r="C21" s="3" t="str">
        <f>Billetes_Brutos!C21</f>
        <v>Mateo Martinez</v>
      </c>
      <c r="D21" s="3" t="str">
        <f>IF(Billetes_Brutos!D21="","Sin correo",Billetes_Brutos!D21)</f>
        <v>Sin correo</v>
      </c>
      <c r="E21" s="3" t="str">
        <f>IF(Billetes_Brutos!E21="","No disponible",Billetes_Brutos!E21)</f>
        <v>No disponible</v>
      </c>
      <c r="F21" s="3" t="str">
        <f>Billetes_Brutos!F21</f>
        <v>Abonado</v>
      </c>
      <c r="G21" s="3" t="str">
        <f>Billetes_Brutos!G21</f>
        <v>Pereira</v>
      </c>
      <c r="H21" s="3" t="str">
        <f>Billetes_Brutos!H21</f>
        <v>Medellin</v>
      </c>
      <c r="I21" s="3" t="str">
        <f>Billetes_Brutos!I21</f>
        <v>26/05/2026</v>
      </c>
      <c r="J21" s="3" t="str">
        <f>Billetes_Brutos!O21</f>
        <v>Primera</v>
      </c>
      <c r="K21" s="3" t="str">
        <f>Billetes_Brutos!K21</f>
        <v>Pagado</v>
      </c>
      <c r="L21" s="3" t="str">
        <f>IF(Billetes_Brutos!L21="","Por confirmar",Billetes_Brutos!L21)</f>
        <v>Por confirmar</v>
      </c>
      <c r="M21" s="3" t="str">
        <f>Billetes_Brutos!M21</f>
        <v>21/11/2025</v>
      </c>
    </row>
    <row r="22" spans="1:13" ht="15" customHeight="1" x14ac:dyDescent="0.3">
      <c r="A22" s="3" t="str">
        <f>Billetes_Brutos!A22</f>
        <v>1042</v>
      </c>
      <c r="B22" s="3" t="str">
        <f>Billetes_Brutos!B22</f>
        <v>31</v>
      </c>
      <c r="C22" s="3" t="str">
        <f>Billetes_Brutos!C22</f>
        <v>Santiago Ramirez</v>
      </c>
      <c r="D22" s="3" t="str">
        <f>IF(Billetes_Brutos!D22="","Sin correo",Billetes_Brutos!D22)</f>
        <v>Sin correo</v>
      </c>
      <c r="E22" s="3" t="str">
        <f>IF(Billetes_Brutos!E22="","No disponible",Billetes_Brutos!E22)</f>
        <v>12/02/1975</v>
      </c>
      <c r="F22" s="3" t="str">
        <f>Billetes_Brutos!F22</f>
        <v>Abonado</v>
      </c>
      <c r="G22" s="3" t="str">
        <f>Billetes_Brutos!G22</f>
        <v>Bogota Central</v>
      </c>
      <c r="H22" s="3" t="str">
        <f>Billetes_Brutos!H22</f>
        <v>Cucuta</v>
      </c>
      <c r="I22" s="3" t="str">
        <f>Billetes_Brutos!I22</f>
        <v>05/03/2026</v>
      </c>
      <c r="J22" s="3" t="str">
        <f>Billetes_Brutos!O22</f>
        <v>Primera</v>
      </c>
      <c r="K22" s="3" t="str">
        <f>Billetes_Brutos!K22</f>
        <v>Anulado</v>
      </c>
      <c r="L22" s="4">
        <f>IF(Billetes_Brutos!L22="","Por confirmar",Billetes_Brutos!L22)</f>
        <v>110600</v>
      </c>
      <c r="M22" s="3" t="str">
        <f>Billetes_Brutos!M22</f>
        <v>02/03/2026</v>
      </c>
    </row>
    <row r="23" spans="1:13" ht="15" customHeight="1" x14ac:dyDescent="0.3">
      <c r="A23" s="3" t="str">
        <f>Billetes_Brutos!A23</f>
        <v>1113</v>
      </c>
      <c r="B23" s="3" t="str">
        <f>Billetes_Brutos!B23</f>
        <v>30</v>
      </c>
      <c r="C23" s="3" t="str">
        <f>Billetes_Brutos!C23</f>
        <v>Mateo Rodriguez</v>
      </c>
      <c r="D23" s="3" t="str">
        <f>IF(Billetes_Brutos!D23="","Sin correo",Billetes_Brutos!D23)</f>
        <v>mateo.rodriguez30@correo.co</v>
      </c>
      <c r="E23" s="3" t="str">
        <f>IF(Billetes_Brutos!E23="","No disponible",Billetes_Brutos!E23)</f>
        <v>03/02/2003</v>
      </c>
      <c r="F23" s="3" t="str">
        <f>Billetes_Brutos!F23</f>
        <v>Abonado</v>
      </c>
      <c r="G23" s="3" t="str">
        <f>Billetes_Brutos!G23</f>
        <v>Santa Marta</v>
      </c>
      <c r="H23" s="3" t="str">
        <f>Billetes_Brutos!H23</f>
        <v>Barranquilla</v>
      </c>
      <c r="I23" s="3" t="str">
        <f>Billetes_Brutos!I23</f>
        <v>06/02/2026</v>
      </c>
      <c r="J23" s="3" t="str">
        <f>Billetes_Brutos!O23</f>
        <v>Primera</v>
      </c>
      <c r="K23" s="3" t="str">
        <f>Billetes_Brutos!K23</f>
        <v>Pagado</v>
      </c>
      <c r="L23" s="4">
        <f>IF(Billetes_Brutos!L23="","Por confirmar",Billetes_Brutos!L23)</f>
        <v>111200</v>
      </c>
      <c r="M23" s="3" t="str">
        <f>Billetes_Brutos!M23</f>
        <v>15/02/2026</v>
      </c>
    </row>
    <row r="24" spans="1:13" ht="15" customHeight="1" x14ac:dyDescent="0.3">
      <c r="A24" s="3" t="str">
        <f>Billetes_Brutos!A24</f>
        <v>1134</v>
      </c>
      <c r="B24" s="3" t="str">
        <f>Billetes_Brutos!B24</f>
        <v>4</v>
      </c>
      <c r="C24" s="3" t="str">
        <f>Billetes_Brutos!C24</f>
        <v>Sofia Sanchez</v>
      </c>
      <c r="D24" s="3" t="str">
        <f>IF(Billetes_Brutos!D24="","Sin correo",Billetes_Brutos!D24)</f>
        <v>sofia.sanchez4@correo.co</v>
      </c>
      <c r="E24" s="3" t="str">
        <f>IF(Billetes_Brutos!E24="","No disponible",Billetes_Brutos!E24)</f>
        <v>21/03/1997</v>
      </c>
      <c r="F24" s="3" t="str">
        <f>Billetes_Brutos!F24</f>
        <v>Ocasional</v>
      </c>
      <c r="G24" s="3" t="str">
        <f>Billetes_Brutos!G24</f>
        <v>Santa Marta</v>
      </c>
      <c r="H24" s="3" t="str">
        <f>Billetes_Brutos!H24</f>
        <v>Bogota Central</v>
      </c>
      <c r="I24" s="3" t="str">
        <f>Billetes_Brutos!I24</f>
        <v>28/01/2026</v>
      </c>
      <c r="J24" s="3" t="str">
        <f>Billetes_Brutos!O24</f>
        <v>Segunda</v>
      </c>
      <c r="K24" s="3" t="str">
        <f>Billetes_Brutos!K24</f>
        <v>Pagado</v>
      </c>
      <c r="L24" s="4">
        <f>IF(Billetes_Brutos!L24="","Por confirmar",Billetes_Brutos!L24)</f>
        <v>145600</v>
      </c>
      <c r="M24" s="3" t="str">
        <f>Billetes_Brutos!M24</f>
        <v>12/02/2026</v>
      </c>
    </row>
    <row r="25" spans="1:13" ht="15" customHeight="1" x14ac:dyDescent="0.3">
      <c r="A25" s="3" t="str">
        <f>Billetes_Brutos!A25</f>
        <v>1001</v>
      </c>
      <c r="B25" s="3" t="str">
        <f>Billetes_Brutos!B25</f>
        <v>2</v>
      </c>
      <c r="C25" s="3" t="str">
        <f>Billetes_Brutos!C25</f>
        <v>Gabriela Hernandez</v>
      </c>
      <c r="D25" s="3" t="str">
        <f>IF(Billetes_Brutos!D25="","Sin correo",Billetes_Brutos!D25)</f>
        <v>gabriela.hernandez2@correo.co</v>
      </c>
      <c r="E25" s="3" t="str">
        <f>IF(Billetes_Brutos!E25="","No disponible",Billetes_Brutos!E25)</f>
        <v>20/08/1992</v>
      </c>
      <c r="F25" s="3" t="str">
        <f>Billetes_Brutos!F25</f>
        <v>Abonado</v>
      </c>
      <c r="G25" s="3" t="str">
        <f>Billetes_Brutos!G25</f>
        <v>Manizales</v>
      </c>
      <c r="H25" s="3" t="str">
        <f>Billetes_Brutos!H25</f>
        <v>Cartagena</v>
      </c>
      <c r="I25" s="3" t="str">
        <f>Billetes_Brutos!I25</f>
        <v>02/01/2026</v>
      </c>
      <c r="J25" s="3" t="str">
        <f>Billetes_Brutos!O25</f>
        <v>Primera</v>
      </c>
      <c r="K25" s="3" t="str">
        <f>Billetes_Brutos!K25</f>
        <v>Pagado</v>
      </c>
      <c r="L25" s="4">
        <f>IF(Billetes_Brutos!L25="","Por confirmar",Billetes_Brutos!L25)</f>
        <v>87800</v>
      </c>
      <c r="M25" s="3" t="str">
        <f>Billetes_Brutos!M25</f>
        <v>15/05/2026</v>
      </c>
    </row>
    <row r="26" spans="1:13" ht="15" customHeight="1" x14ac:dyDescent="0.3">
      <c r="A26" s="3" t="str">
        <f>Billetes_Brutos!A26</f>
        <v>1009</v>
      </c>
      <c r="B26" s="3" t="str">
        <f>Billetes_Brutos!B26</f>
        <v>57</v>
      </c>
      <c r="C26" s="3" t="str">
        <f>Billetes_Brutos!C26</f>
        <v>Nicolas Ramirez</v>
      </c>
      <c r="D26" s="3" t="str">
        <f>IF(Billetes_Brutos!D26="","Sin correo",Billetes_Brutos!D26)</f>
        <v>nicolas.ramirez57@correo.co</v>
      </c>
      <c r="E26" s="3" t="str">
        <f>IF(Billetes_Brutos!E26="","No disponible",Billetes_Brutos!E26)</f>
        <v>18/07/1964</v>
      </c>
      <c r="F26" s="3" t="str">
        <f>Billetes_Brutos!F26</f>
        <v>Ocasional</v>
      </c>
      <c r="G26" s="3" t="str">
        <f>Billetes_Brutos!G26</f>
        <v>Santa Marta</v>
      </c>
      <c r="H26" s="3" t="str">
        <f>Billetes_Brutos!H26</f>
        <v>Barranquilla</v>
      </c>
      <c r="I26" s="3" t="str">
        <f>Billetes_Brutos!I26</f>
        <v>09/02/2026</v>
      </c>
      <c r="J26" s="3" t="str">
        <f>Billetes_Brutos!O26</f>
        <v>Primera</v>
      </c>
      <c r="K26" s="3" t="str">
        <f>Billetes_Brutos!K26</f>
        <v>Anulado</v>
      </c>
      <c r="L26" s="4">
        <f>IF(Billetes_Brutos!L26="","Por confirmar",Billetes_Brutos!L26)</f>
        <v>259100</v>
      </c>
      <c r="M26" s="3" t="str">
        <f>Billetes_Brutos!M26</f>
        <v>16/03/2026</v>
      </c>
    </row>
    <row r="27" spans="1:13" ht="15" customHeight="1" x14ac:dyDescent="0.3">
      <c r="A27" s="3" t="str">
        <f>Billetes_Brutos!A27</f>
        <v>1023</v>
      </c>
      <c r="B27" s="3" t="str">
        <f>Billetes_Brutos!B27</f>
        <v>48</v>
      </c>
      <c r="C27" s="3" t="str">
        <f>Billetes_Brutos!C27</f>
        <v>Gabriela Martinez</v>
      </c>
      <c r="D27" s="3" t="str">
        <f>IF(Billetes_Brutos!D27="","Sin correo",Billetes_Brutos!D27)</f>
        <v>gabriela.martinez48@correo.co</v>
      </c>
      <c r="E27" s="3" t="str">
        <f>IF(Billetes_Brutos!E27="","No disponible",Billetes_Brutos!E27)</f>
        <v>05/10/1985</v>
      </c>
      <c r="F27" s="3" t="str">
        <f>Billetes_Brutos!F27</f>
        <v>Abonado</v>
      </c>
      <c r="G27" s="3" t="str">
        <f>Billetes_Brutos!G27</f>
        <v>Cartagena</v>
      </c>
      <c r="H27" s="3" t="str">
        <f>Billetes_Brutos!H27</f>
        <v>Santa Marta</v>
      </c>
      <c r="I27" s="3" t="str">
        <f>Billetes_Brutos!I27</f>
        <v>06/05/2026</v>
      </c>
      <c r="J27" s="3" t="str">
        <f>Billetes_Brutos!O27</f>
        <v>Primera</v>
      </c>
      <c r="K27" s="3" t="str">
        <f>Billetes_Brutos!K27</f>
        <v>Reembolsado</v>
      </c>
      <c r="L27" s="4">
        <f>IF(Billetes_Brutos!L27="","Por confirmar",Billetes_Brutos!L27)</f>
        <v>70400</v>
      </c>
      <c r="M27" s="3" t="str">
        <f>Billetes_Brutos!M27</f>
        <v>17/02/2026</v>
      </c>
    </row>
    <row r="28" spans="1:13" ht="15" customHeight="1" x14ac:dyDescent="0.3">
      <c r="A28" s="3" t="str">
        <f>Billetes_Brutos!A28</f>
        <v>1039</v>
      </c>
      <c r="B28" s="3" t="str">
        <f>Billetes_Brutos!B28</f>
        <v>55</v>
      </c>
      <c r="C28" s="3" t="str">
        <f>Billetes_Brutos!C28</f>
        <v>Diego Perez</v>
      </c>
      <c r="D28" s="3" t="str">
        <f>IF(Billetes_Brutos!D28="","Sin correo",Billetes_Brutos!D28)</f>
        <v>diego.perez55@correo.co</v>
      </c>
      <c r="E28" s="3" t="str">
        <f>IF(Billetes_Brutos!E28="","No disponible",Billetes_Brutos!E28)</f>
        <v>15/10/1981</v>
      </c>
      <c r="F28" s="3" t="str">
        <f>Billetes_Brutos!F28</f>
        <v>Ocasional</v>
      </c>
      <c r="G28" s="3" t="str">
        <f>Billetes_Brutos!G28</f>
        <v>Pereira</v>
      </c>
      <c r="H28" s="3" t="str">
        <f>Billetes_Brutos!H28</f>
        <v>Santa Marta</v>
      </c>
      <c r="I28" s="3" t="str">
        <f>Billetes_Brutos!I28</f>
        <v>20/05/2026</v>
      </c>
      <c r="J28" s="3" t="str">
        <f>Billetes_Brutos!O28</f>
        <v>Segunda</v>
      </c>
      <c r="K28" s="3" t="str">
        <f>Billetes_Brutos!K28</f>
        <v>Anulado</v>
      </c>
      <c r="L28" s="4">
        <f>IF(Billetes_Brutos!L28="","Por confirmar",Billetes_Brutos!L28)</f>
        <v>120100</v>
      </c>
      <c r="M28" s="3" t="str">
        <f>Billetes_Brutos!M28</f>
        <v>05/03/2026</v>
      </c>
    </row>
    <row r="29" spans="1:13" ht="15" customHeight="1" x14ac:dyDescent="0.3">
      <c r="A29" s="3" t="str">
        <f>Billetes_Brutos!A29</f>
        <v>1095</v>
      </c>
      <c r="B29" s="3" t="str">
        <f>Billetes_Brutos!B29</f>
        <v>26</v>
      </c>
      <c r="C29" s="3" t="str">
        <f>Billetes_Brutos!C29</f>
        <v>Valentina Perez</v>
      </c>
      <c r="D29" s="3" t="str">
        <f>IF(Billetes_Brutos!D29="","Sin correo",Billetes_Brutos!D29)</f>
        <v>Sin correo</v>
      </c>
      <c r="E29" s="3" t="str">
        <f>IF(Billetes_Brutos!E29="","No disponible",Billetes_Brutos!E29)</f>
        <v>01/02/1983</v>
      </c>
      <c r="F29" s="3" t="str">
        <f>Billetes_Brutos!F29</f>
        <v>Ocasional</v>
      </c>
      <c r="G29" s="3" t="str">
        <f>Billetes_Brutos!G29</f>
        <v>Cucuta</v>
      </c>
      <c r="H29" s="3" t="str">
        <f>Billetes_Brutos!H29</f>
        <v>Pereira</v>
      </c>
      <c r="I29" s="3" t="str">
        <f>Billetes_Brutos!I29</f>
        <v>13/06/2026</v>
      </c>
      <c r="J29" s="3" t="str">
        <f>Billetes_Brutos!O29</f>
        <v>Segunda</v>
      </c>
      <c r="K29" s="3" t="str">
        <f>Billetes_Brutos!K29</f>
        <v>Pagado</v>
      </c>
      <c r="L29" s="4">
        <f>IF(Billetes_Brutos!L29="","Por confirmar",Billetes_Brutos!L29)</f>
        <v>310700</v>
      </c>
      <c r="M29" s="3" t="str">
        <f>Billetes_Brutos!M29</f>
        <v>14/12/2025</v>
      </c>
    </row>
    <row r="30" spans="1:13" ht="15" customHeight="1" x14ac:dyDescent="0.3">
      <c r="A30" s="3" t="str">
        <f>Billetes_Brutos!A30</f>
        <v>1075</v>
      </c>
      <c r="B30" s="3" t="str">
        <f>Billetes_Brutos!B30</f>
        <v>59</v>
      </c>
      <c r="C30" s="3" t="str">
        <f>Billetes_Brutos!C30</f>
        <v>Paula Lopez</v>
      </c>
      <c r="D30" s="3" t="str">
        <f>IF(Billetes_Brutos!D30="","Sin correo",Billetes_Brutos!D30)</f>
        <v>paula.lopez59@correo.co</v>
      </c>
      <c r="E30" s="3" t="str">
        <f>IF(Billetes_Brutos!E30="","No disponible",Billetes_Brutos!E30)</f>
        <v>01/05/1965</v>
      </c>
      <c r="F30" s="3" t="str">
        <f>Billetes_Brutos!F30</f>
        <v>Ocasional</v>
      </c>
      <c r="G30" s="3" t="str">
        <f>Billetes_Brutos!G30</f>
        <v>Medellin</v>
      </c>
      <c r="H30" s="3" t="str">
        <f>Billetes_Brutos!H30</f>
        <v>Cali</v>
      </c>
      <c r="I30" s="3" t="str">
        <f>Billetes_Brutos!I30</f>
        <v>27/02/2026</v>
      </c>
      <c r="J30" s="3" t="str">
        <f>Billetes_Brutos!O30</f>
        <v>Segunda</v>
      </c>
      <c r="K30" s="3" t="str">
        <f>Billetes_Brutos!K30</f>
        <v>Pagado</v>
      </c>
      <c r="L30" s="4">
        <f>IF(Billetes_Brutos!L30="","Por confirmar",Billetes_Brutos!L30)</f>
        <v>311000</v>
      </c>
      <c r="M30" s="3" t="str">
        <f>Billetes_Brutos!M30</f>
        <v>25/05/2026</v>
      </c>
    </row>
    <row r="31" spans="1:13" ht="15" customHeight="1" x14ac:dyDescent="0.3">
      <c r="A31" s="3" t="str">
        <f>Billetes_Brutos!A31</f>
        <v>1059</v>
      </c>
      <c r="B31" s="3" t="str">
        <f>Billetes_Brutos!B31</f>
        <v>27</v>
      </c>
      <c r="C31" s="3" t="str">
        <f>Billetes_Brutos!C31</f>
        <v>Juan Gonzalez</v>
      </c>
      <c r="D31" s="3" t="str">
        <f>IF(Billetes_Brutos!D31="","Sin correo",Billetes_Brutos!D31)</f>
        <v>juan.gonzalez27@correo.co</v>
      </c>
      <c r="E31" s="3" t="str">
        <f>IF(Billetes_Brutos!E31="","No disponible",Billetes_Brutos!E31)</f>
        <v>03/08/1984</v>
      </c>
      <c r="F31" s="3" t="str">
        <f>Billetes_Brutos!F31</f>
        <v>Ocasional</v>
      </c>
      <c r="G31" s="3" t="str">
        <f>Billetes_Brutos!G31</f>
        <v>Manizales</v>
      </c>
      <c r="H31" s="3" t="str">
        <f>Billetes_Brutos!H31</f>
        <v>Cartagena</v>
      </c>
      <c r="I31" s="3" t="str">
        <f>Billetes_Brutos!I31</f>
        <v>19/06/2026</v>
      </c>
      <c r="J31" s="3" t="str">
        <f>Billetes_Brutos!O31</f>
        <v>Segunda</v>
      </c>
      <c r="K31" s="3" t="str">
        <f>Billetes_Brutos!K31</f>
        <v>Anulado</v>
      </c>
      <c r="L31" s="4">
        <f>IF(Billetes_Brutos!L31="","Por confirmar",Billetes_Brutos!L31)</f>
        <v>170100</v>
      </c>
      <c r="M31" s="3" t="str">
        <f>Billetes_Brutos!M31</f>
        <v>20/01/2026</v>
      </c>
    </row>
    <row r="32" spans="1:13" ht="15" customHeight="1" x14ac:dyDescent="0.3">
      <c r="A32" s="3" t="str">
        <f>Billetes_Brutos!A32</f>
        <v>1116</v>
      </c>
      <c r="B32" s="3" t="str">
        <f>Billetes_Brutos!B32</f>
        <v>30</v>
      </c>
      <c r="C32" s="3" t="str">
        <f>Billetes_Brutos!C32</f>
        <v>Paula Martinez</v>
      </c>
      <c r="D32" s="3" t="str">
        <f>IF(Billetes_Brutos!D32="","Sin correo",Billetes_Brutos!D32)</f>
        <v>paula.martinez30@correo.co</v>
      </c>
      <c r="E32" s="3" t="str">
        <f>IF(Billetes_Brutos!E32="","No disponible",Billetes_Brutos!E32)</f>
        <v>No disponible</v>
      </c>
      <c r="F32" s="3" t="str">
        <f>Billetes_Brutos!F32</f>
        <v>Ocasional</v>
      </c>
      <c r="G32" s="3" t="str">
        <f>Billetes_Brutos!G32</f>
        <v>Bogota Central</v>
      </c>
      <c r="H32" s="3" t="str">
        <f>Billetes_Brutos!H32</f>
        <v>Cartagena</v>
      </c>
      <c r="I32" s="3" t="str">
        <f>Billetes_Brutos!I32</f>
        <v>21/02/2026</v>
      </c>
      <c r="J32" s="3" t="str">
        <f>Billetes_Brutos!O32</f>
        <v>Primera</v>
      </c>
      <c r="K32" s="3" t="str">
        <f>Billetes_Brutos!K32</f>
        <v>Anulado</v>
      </c>
      <c r="L32" s="4">
        <f>IF(Billetes_Brutos!L32="","Por confirmar",Billetes_Brutos!L32)</f>
        <v>131800</v>
      </c>
      <c r="M32" s="3" t="str">
        <f>Billetes_Brutos!M32</f>
        <v>19/01/2026</v>
      </c>
    </row>
    <row r="33" spans="1:13" ht="15" customHeight="1" x14ac:dyDescent="0.3">
      <c r="A33" s="3" t="str">
        <f>Billetes_Brutos!A33</f>
        <v>1008</v>
      </c>
      <c r="B33" s="3" t="str">
        <f>Billetes_Brutos!B33</f>
        <v>39</v>
      </c>
      <c r="C33" s="3" t="str">
        <f>Billetes_Brutos!C33</f>
        <v>Julian Ramirez</v>
      </c>
      <c r="D33" s="3" t="str">
        <f>IF(Billetes_Brutos!D33="","Sin correo",Billetes_Brutos!D33)</f>
        <v>julian.ramirez39@correo.co</v>
      </c>
      <c r="E33" s="3" t="str">
        <f>IF(Billetes_Brutos!E33="","No disponible",Billetes_Brutos!E33)</f>
        <v>12/01/1956</v>
      </c>
      <c r="F33" s="3" t="str">
        <f>Billetes_Brutos!F33</f>
        <v>Abonado</v>
      </c>
      <c r="G33" s="3" t="str">
        <f>Billetes_Brutos!G33</f>
        <v>Santa Marta</v>
      </c>
      <c r="H33" s="3" t="str">
        <f>Billetes_Brutos!H33</f>
        <v>Cartagena</v>
      </c>
      <c r="I33" s="3" t="str">
        <f>Billetes_Brutos!I33</f>
        <v>14/06/2026</v>
      </c>
      <c r="J33" s="3" t="str">
        <f>Billetes_Brutos!O33</f>
        <v>Primera</v>
      </c>
      <c r="K33" s="3" t="str">
        <f>Billetes_Brutos!K33</f>
        <v>Pagado</v>
      </c>
      <c r="L33" s="4">
        <f>IF(Billetes_Brutos!L33="","Por confirmar",Billetes_Brutos!L33)</f>
        <v>169800</v>
      </c>
      <c r="M33" s="3" t="str">
        <f>Billetes_Brutos!M33</f>
        <v>04/05/2026</v>
      </c>
    </row>
    <row r="34" spans="1:13" ht="15" customHeight="1" x14ac:dyDescent="0.3">
      <c r="A34" s="3" t="str">
        <f>Billetes_Brutos!A35</f>
        <v>1138</v>
      </c>
      <c r="B34" s="3" t="str">
        <f>Billetes_Brutos!B35</f>
        <v>33</v>
      </c>
      <c r="C34" s="3" t="str">
        <f>Billetes_Brutos!C35</f>
        <v>David Ramirez</v>
      </c>
      <c r="D34" s="3" t="str">
        <f>IF(Billetes_Brutos!D35="","Sin correo",Billetes_Brutos!D35)</f>
        <v>david.ramirez33@correo.co</v>
      </c>
      <c r="E34" s="3" t="str">
        <f>IF(Billetes_Brutos!E35="","No disponible",Billetes_Brutos!E35)</f>
        <v>09/08/1997</v>
      </c>
      <c r="F34" s="3" t="str">
        <f>Billetes_Brutos!F35</f>
        <v>Abonado</v>
      </c>
      <c r="G34" s="3" t="str">
        <f>Billetes_Brutos!G35</f>
        <v>Bucaramanga</v>
      </c>
      <c r="H34" s="3" t="str">
        <f>Billetes_Brutos!H35</f>
        <v>Cucuta</v>
      </c>
      <c r="I34" s="3" t="str">
        <f>Billetes_Brutos!I35</f>
        <v>22/06/2026</v>
      </c>
      <c r="J34" s="3" t="str">
        <f>Billetes_Brutos!O35</f>
        <v>Primera</v>
      </c>
      <c r="K34" s="3" t="str">
        <f>Billetes_Brutos!K35</f>
        <v>Reembolsado</v>
      </c>
      <c r="L34" s="4">
        <f>IF(Billetes_Brutos!L35="","Por confirmar",Billetes_Brutos!L35)</f>
        <v>264100</v>
      </c>
      <c r="M34" s="3" t="str">
        <f>Billetes_Brutos!M35</f>
        <v>05/05/2026</v>
      </c>
    </row>
    <row r="35" spans="1:13" ht="15" customHeight="1" x14ac:dyDescent="0.3">
      <c r="A35" s="3" t="str">
        <f>Billetes_Brutos!A36</f>
        <v>1011</v>
      </c>
      <c r="B35" s="3" t="str">
        <f>Billetes_Brutos!B36</f>
        <v>53</v>
      </c>
      <c r="C35" s="3" t="str">
        <f>Billetes_Brutos!C36</f>
        <v>Mateo Ramirez</v>
      </c>
      <c r="D35" s="3" t="str">
        <f>IF(Billetes_Brutos!D36="","Sin correo",Billetes_Brutos!D36)</f>
        <v>mateo.ramirez53@correo.co</v>
      </c>
      <c r="E35" s="3" t="str">
        <f>IF(Billetes_Brutos!E36="","No disponible",Billetes_Brutos!E36)</f>
        <v>22/08/1997</v>
      </c>
      <c r="F35" s="3" t="str">
        <f>Billetes_Brutos!F36</f>
        <v>Abonado</v>
      </c>
      <c r="G35" s="3" t="str">
        <f>Billetes_Brutos!G36</f>
        <v>Cartagena</v>
      </c>
      <c r="H35" s="3" t="str">
        <f>Billetes_Brutos!H36</f>
        <v>Santa Marta</v>
      </c>
      <c r="I35" s="3" t="str">
        <f>Billetes_Brutos!I36</f>
        <v>05/06/2026</v>
      </c>
      <c r="J35" s="3" t="str">
        <f>Billetes_Brutos!O36</f>
        <v>Segunda</v>
      </c>
      <c r="K35" s="3" t="str">
        <f>Billetes_Brutos!K36</f>
        <v>Reembolsado</v>
      </c>
      <c r="L35" s="4">
        <f>IF(Billetes_Brutos!L36="","Por confirmar",Billetes_Brutos!L36)</f>
        <v>252700</v>
      </c>
      <c r="M35" s="3" t="str">
        <f>Billetes_Brutos!M36</f>
        <v>26/04/2026</v>
      </c>
    </row>
    <row r="36" spans="1:13" ht="15" customHeight="1" x14ac:dyDescent="0.3">
      <c r="A36" s="3" t="str">
        <f>Billetes_Brutos!A37</f>
        <v>1002</v>
      </c>
      <c r="B36" s="3" t="str">
        <f>Billetes_Brutos!B37</f>
        <v>22</v>
      </c>
      <c r="C36" s="3" t="str">
        <f>Billetes_Brutos!C37</f>
        <v>Isabella Rodriguez</v>
      </c>
      <c r="D36" s="3" t="str">
        <f>IF(Billetes_Brutos!D37="","Sin correo",Billetes_Brutos!D37)</f>
        <v>isabella.rodriguez22@correo.co</v>
      </c>
      <c r="E36" s="3" t="str">
        <f>IF(Billetes_Brutos!E37="","No disponible",Billetes_Brutos!E37)</f>
        <v>09/11/1985</v>
      </c>
      <c r="F36" s="3" t="str">
        <f>Billetes_Brutos!F37</f>
        <v>Ocasional</v>
      </c>
      <c r="G36" s="3" t="str">
        <f>Billetes_Brutos!G37</f>
        <v>Bogota Central</v>
      </c>
      <c r="H36" s="3" t="str">
        <f>Billetes_Brutos!H37</f>
        <v>Manizales</v>
      </c>
      <c r="I36" s="3" t="str">
        <f>Billetes_Brutos!I37</f>
        <v>18/05/2026</v>
      </c>
      <c r="J36" s="3" t="str">
        <f>Billetes_Brutos!O37</f>
        <v>Primera</v>
      </c>
      <c r="K36" s="3" t="str">
        <f>Billetes_Brutos!K37</f>
        <v>Reembolsado</v>
      </c>
      <c r="L36" s="4">
        <f>IF(Billetes_Brutos!L37="","Por confirmar",Billetes_Brutos!L37)</f>
        <v>196800</v>
      </c>
      <c r="M36" s="3" t="str">
        <f>Billetes_Brutos!M37</f>
        <v>01/06/2026</v>
      </c>
    </row>
    <row r="37" spans="1:13" ht="15" customHeight="1" x14ac:dyDescent="0.3">
      <c r="A37" s="3" t="str">
        <f>Billetes_Brutos!A38</f>
        <v>1072</v>
      </c>
      <c r="B37" s="3" t="str">
        <f>Billetes_Brutos!B38</f>
        <v>37</v>
      </c>
      <c r="C37" s="3" t="str">
        <f>Billetes_Brutos!C38</f>
        <v>Daniela Torres</v>
      </c>
      <c r="D37" s="3" t="str">
        <f>IF(Billetes_Brutos!D38="","Sin correo",Billetes_Brutos!D38)</f>
        <v>daniela.torres37@correo.co</v>
      </c>
      <c r="E37" s="3" t="str">
        <f>IF(Billetes_Brutos!E38="","No disponible",Billetes_Brutos!E38)</f>
        <v>19/12/1956</v>
      </c>
      <c r="F37" s="3" t="str">
        <f>Billetes_Brutos!F38</f>
        <v>Ocasional</v>
      </c>
      <c r="G37" s="3" t="str">
        <f>Billetes_Brutos!G38</f>
        <v>Cartagena</v>
      </c>
      <c r="H37" s="3" t="str">
        <f>Billetes_Brutos!H38</f>
        <v>Bogota Central</v>
      </c>
      <c r="I37" s="3" t="str">
        <f>Billetes_Brutos!I38</f>
        <v>25/05/2026</v>
      </c>
      <c r="J37" s="3" t="str">
        <f>Billetes_Brutos!O38</f>
        <v>Segunda</v>
      </c>
      <c r="K37" s="3" t="str">
        <f>Billetes_Brutos!K38</f>
        <v>Anulado</v>
      </c>
      <c r="L37" s="4">
        <f>IF(Billetes_Brutos!L38="","Por confirmar",Billetes_Brutos!L38)</f>
        <v>295400</v>
      </c>
      <c r="M37" s="3" t="str">
        <f>Billetes_Brutos!M38</f>
        <v>10/05/2026</v>
      </c>
    </row>
    <row r="38" spans="1:13" ht="15" customHeight="1" x14ac:dyDescent="0.3">
      <c r="A38" s="3" t="str">
        <f>Billetes_Brutos!A39</f>
        <v>1014</v>
      </c>
      <c r="B38" s="3" t="str">
        <f>Billetes_Brutos!B39</f>
        <v>37</v>
      </c>
      <c r="C38" s="3" t="str">
        <f>Billetes_Brutos!C39</f>
        <v>Diego Sanchez</v>
      </c>
      <c r="D38" s="3" t="str">
        <f>IF(Billetes_Brutos!D39="","Sin correo",Billetes_Brutos!D39)</f>
        <v>diego.sanchez37@correo.co</v>
      </c>
      <c r="E38" s="3" t="str">
        <f>IF(Billetes_Brutos!E39="","No disponible",Billetes_Brutos!E39)</f>
        <v>09/07/1991</v>
      </c>
      <c r="F38" s="3" t="str">
        <f>Billetes_Brutos!F39</f>
        <v>Abonado</v>
      </c>
      <c r="G38" s="3" t="str">
        <f>Billetes_Brutos!G39</f>
        <v>Medellin</v>
      </c>
      <c r="H38" s="3" t="str">
        <f>Billetes_Brutos!H39</f>
        <v>Cucuta</v>
      </c>
      <c r="I38" s="3" t="str">
        <f>Billetes_Brutos!I39</f>
        <v>18/06/2026</v>
      </c>
      <c r="J38" s="3" t="str">
        <f>Billetes_Brutos!O39</f>
        <v>Segunda</v>
      </c>
      <c r="K38" s="3" t="str">
        <f>Billetes_Brutos!K39</f>
        <v>Pagado</v>
      </c>
      <c r="L38" s="4">
        <f>IF(Billetes_Brutos!L39="","Por confirmar",Billetes_Brutos!L39)</f>
        <v>282600</v>
      </c>
      <c r="M38" s="3" t="str">
        <f>Billetes_Brutos!M39</f>
        <v>14/11/2025</v>
      </c>
    </row>
    <row r="39" spans="1:13" ht="15" customHeight="1" x14ac:dyDescent="0.3">
      <c r="A39" s="3" t="str">
        <f>Billetes_Brutos!A40</f>
        <v>1119</v>
      </c>
      <c r="B39" s="3" t="str">
        <f>Billetes_Brutos!B40</f>
        <v>35</v>
      </c>
      <c r="C39" s="3" t="str">
        <f>Billetes_Brutos!C40</f>
        <v>Sofia Gonzalez</v>
      </c>
      <c r="D39" s="3" t="str">
        <f>IF(Billetes_Brutos!D40="","Sin correo",Billetes_Brutos!D40)</f>
        <v>Sin correo</v>
      </c>
      <c r="E39" s="3" t="str">
        <f>IF(Billetes_Brutos!E40="","No disponible",Billetes_Brutos!E40)</f>
        <v>10/07/1981</v>
      </c>
      <c r="F39" s="3" t="str">
        <f>Billetes_Brutos!F40</f>
        <v>Ocasional</v>
      </c>
      <c r="G39" s="3" t="str">
        <f>Billetes_Brutos!G40</f>
        <v>Manizales</v>
      </c>
      <c r="H39" s="3" t="str">
        <f>Billetes_Brutos!H40</f>
        <v>Pereira</v>
      </c>
      <c r="I39" s="3" t="str">
        <f>Billetes_Brutos!I40</f>
        <v>12/02/2026</v>
      </c>
      <c r="J39" s="3" t="str">
        <f>Billetes_Brutos!O40</f>
        <v>Segunda</v>
      </c>
      <c r="K39" s="3" t="str">
        <f>Billetes_Brutos!K40</f>
        <v>Pagado</v>
      </c>
      <c r="L39" s="4">
        <f>IF(Billetes_Brutos!L40="","Por confirmar",Billetes_Brutos!L40)</f>
        <v>244900</v>
      </c>
      <c r="M39" s="3" t="str">
        <f>Billetes_Brutos!M40</f>
        <v>22/06/2026</v>
      </c>
    </row>
    <row r="40" spans="1:13" ht="15" customHeight="1" x14ac:dyDescent="0.3">
      <c r="A40" s="3" t="str">
        <f>Billetes_Brutos!A41</f>
        <v>1133</v>
      </c>
      <c r="B40" s="3" t="str">
        <f>Billetes_Brutos!B41</f>
        <v>49</v>
      </c>
      <c r="C40" s="3" t="str">
        <f>Billetes_Brutos!C41</f>
        <v>Camila Sanchez</v>
      </c>
      <c r="D40" s="3" t="str">
        <f>IF(Billetes_Brutos!D41="","Sin correo",Billetes_Brutos!D41)</f>
        <v>camila.sanchez49@correo.co</v>
      </c>
      <c r="E40" s="3" t="str">
        <f>IF(Billetes_Brutos!E41="","No disponible",Billetes_Brutos!E41)</f>
        <v>06/09/1982</v>
      </c>
      <c r="F40" s="3" t="str">
        <f>Billetes_Brutos!F41</f>
        <v>Ocasional</v>
      </c>
      <c r="G40" s="3" t="str">
        <f>Billetes_Brutos!G41</f>
        <v>Bogota Central</v>
      </c>
      <c r="H40" s="3" t="str">
        <f>Billetes_Brutos!H41</f>
        <v>Medellin</v>
      </c>
      <c r="I40" s="3" t="str">
        <f>Billetes_Brutos!I41</f>
        <v>11/04/2026</v>
      </c>
      <c r="J40" s="3" t="str">
        <f>Billetes_Brutos!O41</f>
        <v>Segunda</v>
      </c>
      <c r="K40" s="3" t="str">
        <f>Billetes_Brutos!K41</f>
        <v>Pagado</v>
      </c>
      <c r="L40" s="4">
        <f>IF(Billetes_Brutos!L41="","Por confirmar",Billetes_Brutos!L41)</f>
        <v>205400</v>
      </c>
      <c r="M40" s="3" t="str">
        <f>Billetes_Brutos!M41</f>
        <v>13/11/2025</v>
      </c>
    </row>
    <row r="41" spans="1:13" ht="15" customHeight="1" x14ac:dyDescent="0.3">
      <c r="A41" s="3" t="str">
        <f>Billetes_Brutos!A42</f>
        <v>1003</v>
      </c>
      <c r="B41" s="3" t="str">
        <f>Billetes_Brutos!B42</f>
        <v>41</v>
      </c>
      <c r="C41" s="3" t="str">
        <f>Billetes_Brutos!C42</f>
        <v>Manuela Gonzalez</v>
      </c>
      <c r="D41" s="3" t="str">
        <f>IF(Billetes_Brutos!D42="","Sin correo",Billetes_Brutos!D42)</f>
        <v>manuela.gonzalez41@correo.co</v>
      </c>
      <c r="E41" s="3" t="str">
        <f>IF(Billetes_Brutos!E42="","No disponible",Billetes_Brutos!E42)</f>
        <v>10/02/1959</v>
      </c>
      <c r="F41" s="3" t="str">
        <f>Billetes_Brutos!F42</f>
        <v>Abonado</v>
      </c>
      <c r="G41" s="3" t="str">
        <f>Billetes_Brutos!G42</f>
        <v>Cartagena</v>
      </c>
      <c r="H41" s="3" t="str">
        <f>Billetes_Brutos!H42</f>
        <v>Medellin</v>
      </c>
      <c r="I41" s="3" t="str">
        <f>Billetes_Brutos!I42</f>
        <v>01/03/2026</v>
      </c>
      <c r="J41" s="3" t="str">
        <f>Billetes_Brutos!O42</f>
        <v>Primera</v>
      </c>
      <c r="K41" s="3" t="str">
        <f>Billetes_Brutos!K42</f>
        <v>Pagado</v>
      </c>
      <c r="L41" s="4">
        <f>IF(Billetes_Brutos!L42="","Por confirmar",Billetes_Brutos!L42)</f>
        <v>274400</v>
      </c>
      <c r="M41" s="3" t="str">
        <f>Billetes_Brutos!M42</f>
        <v>12/12/2025</v>
      </c>
    </row>
    <row r="42" spans="1:13" ht="15" customHeight="1" x14ac:dyDescent="0.3">
      <c r="A42" s="3" t="str">
        <f>Billetes_Brutos!A43</f>
        <v>1046</v>
      </c>
      <c r="B42" s="3" t="str">
        <f>Billetes_Brutos!B43</f>
        <v>52</v>
      </c>
      <c r="C42" s="3" t="str">
        <f>Billetes_Brutos!C43</f>
        <v>Gabriela Sanchez</v>
      </c>
      <c r="D42" s="3" t="str">
        <f>IF(Billetes_Brutos!D43="","Sin correo",Billetes_Brutos!D43)</f>
        <v>gabriela.sanchez52@correo.co</v>
      </c>
      <c r="E42" s="3" t="str">
        <f>IF(Billetes_Brutos!E43="","No disponible",Billetes_Brutos!E43)</f>
        <v>29/01/1979</v>
      </c>
      <c r="F42" s="3" t="str">
        <f>Billetes_Brutos!F43</f>
        <v>Ocasional</v>
      </c>
      <c r="G42" s="3" t="str">
        <f>Billetes_Brutos!G43</f>
        <v>Barranquilla</v>
      </c>
      <c r="H42" s="3" t="str">
        <f>Billetes_Brutos!H43</f>
        <v>Medellin</v>
      </c>
      <c r="I42" s="3" t="str">
        <f>Billetes_Brutos!I43</f>
        <v>13/03/2026</v>
      </c>
      <c r="J42" s="3" t="str">
        <f>Billetes_Brutos!O43</f>
        <v>Segunda</v>
      </c>
      <c r="K42" s="3" t="str">
        <f>Billetes_Brutos!K43</f>
        <v>Pagado</v>
      </c>
      <c r="L42" s="4">
        <f>IF(Billetes_Brutos!L43="","Por confirmar",Billetes_Brutos!L43)</f>
        <v>212800</v>
      </c>
      <c r="M42" s="3" t="str">
        <f>Billetes_Brutos!M43</f>
        <v>06/02/2026</v>
      </c>
    </row>
    <row r="43" spans="1:13" ht="15" customHeight="1" x14ac:dyDescent="0.3">
      <c r="A43" s="3" t="str">
        <f>Billetes_Brutos!A44</f>
        <v>1130</v>
      </c>
      <c r="B43" s="3" t="str">
        <f>Billetes_Brutos!B44</f>
        <v>27</v>
      </c>
      <c r="C43" s="3" t="str">
        <f>Billetes_Brutos!C44</f>
        <v>Manuela Gomez</v>
      </c>
      <c r="D43" s="3" t="str">
        <f>IF(Billetes_Brutos!D44="","Sin correo",Billetes_Brutos!D44)</f>
        <v>manuela.gomez27@correo.co</v>
      </c>
      <c r="E43" s="3" t="str">
        <f>IF(Billetes_Brutos!E44="","No disponible",Billetes_Brutos!E44)</f>
        <v>26/12/1980</v>
      </c>
      <c r="F43" s="3" t="str">
        <f>Billetes_Brutos!F44</f>
        <v>Ocasional</v>
      </c>
      <c r="G43" s="3" t="str">
        <f>Billetes_Brutos!G44</f>
        <v>Manizales</v>
      </c>
      <c r="H43" s="3" t="str">
        <f>Billetes_Brutos!H44</f>
        <v>Barranquilla</v>
      </c>
      <c r="I43" s="3" t="str">
        <f>Billetes_Brutos!I44</f>
        <v>25/06/2026</v>
      </c>
      <c r="J43" s="3" t="str">
        <f>Billetes_Brutos!O44</f>
        <v>Segunda</v>
      </c>
      <c r="K43" s="3" t="str">
        <f>Billetes_Brutos!K44</f>
        <v>Pagado</v>
      </c>
      <c r="L43" s="4">
        <f>IF(Billetes_Brutos!L44="","Por confirmar",Billetes_Brutos!L44)</f>
        <v>61500</v>
      </c>
      <c r="M43" s="3" t="str">
        <f>Billetes_Brutos!M44</f>
        <v>21/02/2026</v>
      </c>
    </row>
    <row r="44" spans="1:13" ht="15" customHeight="1" x14ac:dyDescent="0.3">
      <c r="A44" s="3" t="str">
        <f>Billetes_Brutos!A45</f>
        <v>1020</v>
      </c>
      <c r="B44" s="3" t="str">
        <f>Billetes_Brutos!B45</f>
        <v>27</v>
      </c>
      <c r="C44" s="3" t="str">
        <f>Billetes_Brutos!C45</f>
        <v>Diego Torres</v>
      </c>
      <c r="D44" s="3" t="str">
        <f>IF(Billetes_Brutos!D45="","Sin correo",Billetes_Brutos!D45)</f>
        <v>diego.torres27@correo.co</v>
      </c>
      <c r="E44" s="3" t="str">
        <f>IF(Billetes_Brutos!E45="","No disponible",Billetes_Brutos!E45)</f>
        <v>29/04/1973</v>
      </c>
      <c r="F44" s="3" t="str">
        <f>Billetes_Brutos!F45</f>
        <v>Ocasional</v>
      </c>
      <c r="G44" s="3" t="str">
        <f>Billetes_Brutos!G45</f>
        <v>Barranquilla</v>
      </c>
      <c r="H44" s="3" t="str">
        <f>Billetes_Brutos!H45</f>
        <v>Cartagena</v>
      </c>
      <c r="I44" s="3" t="str">
        <f>Billetes_Brutos!I45</f>
        <v>12/04/2026</v>
      </c>
      <c r="J44" s="3" t="str">
        <f>Billetes_Brutos!O45</f>
        <v>Primera</v>
      </c>
      <c r="K44" s="3" t="str">
        <f>Billetes_Brutos!K45</f>
        <v>Pagado</v>
      </c>
      <c r="L44" s="4">
        <f>IF(Billetes_Brutos!L45="","Por confirmar",Billetes_Brutos!L45)</f>
        <v>131900</v>
      </c>
      <c r="M44" s="3" t="str">
        <f>Billetes_Brutos!M45</f>
        <v>12/05/2026</v>
      </c>
    </row>
    <row r="45" spans="1:13" ht="15" customHeight="1" x14ac:dyDescent="0.3">
      <c r="A45" s="3" t="str">
        <f>Billetes_Brutos!A46</f>
        <v>1085</v>
      </c>
      <c r="B45" s="3" t="str">
        <f>Billetes_Brutos!B46</f>
        <v>21</v>
      </c>
      <c r="C45" s="3" t="str">
        <f>Billetes_Brutos!C46</f>
        <v>Manuela Martinez</v>
      </c>
      <c r="D45" s="3" t="str">
        <f>IF(Billetes_Brutos!D46="","Sin correo",Billetes_Brutos!D46)</f>
        <v>Sin correo</v>
      </c>
      <c r="E45" s="3" t="str">
        <f>IF(Billetes_Brutos!E46="","No disponible",Billetes_Brutos!E46)</f>
        <v>12/03/2004</v>
      </c>
      <c r="F45" s="3" t="str">
        <f>Billetes_Brutos!F46</f>
        <v>Ocasional</v>
      </c>
      <c r="G45" s="3" t="str">
        <f>Billetes_Brutos!G46</f>
        <v>Pereira</v>
      </c>
      <c r="H45" s="3" t="str">
        <f>Billetes_Brutos!H46</f>
        <v>Santa Marta</v>
      </c>
      <c r="I45" s="3" t="str">
        <f>Billetes_Brutos!I46</f>
        <v>17/03/2026</v>
      </c>
      <c r="J45" s="3" t="str">
        <f>Billetes_Brutos!O46</f>
        <v>Segunda</v>
      </c>
      <c r="K45" s="3" t="str">
        <f>Billetes_Brutos!K46</f>
        <v>Pagado</v>
      </c>
      <c r="L45" s="4">
        <f>IF(Billetes_Brutos!L46="","Por confirmar",Billetes_Brutos!L46)</f>
        <v>263100</v>
      </c>
      <c r="M45" s="3" t="str">
        <f>Billetes_Brutos!M46</f>
        <v>30/11/2025</v>
      </c>
    </row>
    <row r="46" spans="1:13" ht="15" customHeight="1" x14ac:dyDescent="0.3">
      <c r="A46" s="3" t="str">
        <f>Billetes_Brutos!A47</f>
        <v>1012</v>
      </c>
      <c r="B46" s="3" t="str">
        <f>Billetes_Brutos!B47</f>
        <v>13</v>
      </c>
      <c r="C46" s="3" t="str">
        <f>Billetes_Brutos!C47</f>
        <v>Sofia Perez</v>
      </c>
      <c r="D46" s="3" t="str">
        <f>IF(Billetes_Brutos!D47="","Sin correo",Billetes_Brutos!D47)</f>
        <v>sofia.perez13@correo.co</v>
      </c>
      <c r="E46" s="3" t="str">
        <f>IF(Billetes_Brutos!E47="","No disponible",Billetes_Brutos!E47)</f>
        <v>21/04/1994</v>
      </c>
      <c r="F46" s="3" t="str">
        <f>Billetes_Brutos!F47</f>
        <v>Ocasional</v>
      </c>
      <c r="G46" s="3" t="str">
        <f>Billetes_Brutos!G47</f>
        <v>Medellin</v>
      </c>
      <c r="H46" s="3" t="str">
        <f>Billetes_Brutos!H47</f>
        <v>Barranquilla</v>
      </c>
      <c r="I46" s="3" t="str">
        <f>Billetes_Brutos!I47</f>
        <v>27/02/2026</v>
      </c>
      <c r="J46" s="3" t="str">
        <f>Billetes_Brutos!O47</f>
        <v>Primera</v>
      </c>
      <c r="K46" s="3" t="str">
        <f>Billetes_Brutos!K47</f>
        <v>Pagado</v>
      </c>
      <c r="L46" s="4">
        <f>IF(Billetes_Brutos!L47="","Por confirmar",Billetes_Brutos!L47)</f>
        <v>108300</v>
      </c>
      <c r="M46" s="3" t="str">
        <f>Billetes_Brutos!M47</f>
        <v>27/12/2025</v>
      </c>
    </row>
    <row r="47" spans="1:13" ht="15" customHeight="1" x14ac:dyDescent="0.3">
      <c r="A47" s="3" t="str">
        <f>Billetes_Brutos!A48</f>
        <v>1055</v>
      </c>
      <c r="B47" s="3" t="str">
        <f>Billetes_Brutos!B48</f>
        <v>46</v>
      </c>
      <c r="C47" s="3" t="str">
        <f>Billetes_Brutos!C48</f>
        <v>Sofia Sanchez</v>
      </c>
      <c r="D47" s="3" t="str">
        <f>IF(Billetes_Brutos!D48="","Sin correo",Billetes_Brutos!D48)</f>
        <v>Sin correo</v>
      </c>
      <c r="E47" s="3" t="str">
        <f>IF(Billetes_Brutos!E48="","No disponible",Billetes_Brutos!E48)</f>
        <v>25/09/1978</v>
      </c>
      <c r="F47" s="3" t="str">
        <f>Billetes_Brutos!F48</f>
        <v>Abonado</v>
      </c>
      <c r="G47" s="3" t="str">
        <f>Billetes_Brutos!G48</f>
        <v>Pereira</v>
      </c>
      <c r="H47" s="3" t="str">
        <f>Billetes_Brutos!H48</f>
        <v>Medellin</v>
      </c>
      <c r="I47" s="3" t="str">
        <f>Billetes_Brutos!I48</f>
        <v>20/05/2026</v>
      </c>
      <c r="J47" s="3" t="str">
        <f>Billetes_Brutos!O48</f>
        <v>Primera</v>
      </c>
      <c r="K47" s="3" t="str">
        <f>Billetes_Brutos!K48</f>
        <v>Pagado</v>
      </c>
      <c r="L47" s="4">
        <f>IF(Billetes_Brutos!L48="","Por confirmar",Billetes_Brutos!L48)</f>
        <v>272300</v>
      </c>
      <c r="M47" s="3" t="str">
        <f>Billetes_Brutos!M48</f>
        <v>19/11/2025</v>
      </c>
    </row>
    <row r="48" spans="1:13" ht="15" customHeight="1" x14ac:dyDescent="0.3">
      <c r="A48" s="3" t="str">
        <f>Billetes_Brutos!A49</f>
        <v>1118</v>
      </c>
      <c r="B48" s="3" t="str">
        <f>Billetes_Brutos!B49</f>
        <v>26</v>
      </c>
      <c r="C48" s="3" t="str">
        <f>Billetes_Brutos!C49</f>
        <v>Julian Perez</v>
      </c>
      <c r="D48" s="3" t="str">
        <f>IF(Billetes_Brutos!D49="","Sin correo",Billetes_Brutos!D49)</f>
        <v>julian.perez26@correo.co</v>
      </c>
      <c r="E48" s="3" t="str">
        <f>IF(Billetes_Brutos!E49="","No disponible",Billetes_Brutos!E49)</f>
        <v>20/08/1999</v>
      </c>
      <c r="F48" s="3" t="str">
        <f>Billetes_Brutos!F49</f>
        <v>Ocasional</v>
      </c>
      <c r="G48" s="3" t="str">
        <f>Billetes_Brutos!G49</f>
        <v>Santa Marta</v>
      </c>
      <c r="H48" s="3" t="str">
        <f>Billetes_Brutos!H49</f>
        <v>Cartagena</v>
      </c>
      <c r="I48" s="3" t="str">
        <f>Billetes_Brutos!I49</f>
        <v>22/01/2026</v>
      </c>
      <c r="J48" s="3" t="str">
        <f>Billetes_Brutos!O49</f>
        <v>Segunda</v>
      </c>
      <c r="K48" s="3" t="str">
        <f>Billetes_Brutos!K49</f>
        <v>Pagado</v>
      </c>
      <c r="L48" s="4">
        <f>IF(Billetes_Brutos!L49="","Por confirmar",Billetes_Brutos!L49)</f>
        <v>318700</v>
      </c>
      <c r="M48" s="3" t="str">
        <f>Billetes_Brutos!M49</f>
        <v>17/12/2025</v>
      </c>
    </row>
    <row r="49" spans="1:13" ht="15" customHeight="1" x14ac:dyDescent="0.3">
      <c r="A49" s="3" t="str">
        <f>Billetes_Brutos!A50</f>
        <v>1058</v>
      </c>
      <c r="B49" s="3" t="str">
        <f>Billetes_Brutos!B50</f>
        <v>44</v>
      </c>
      <c r="C49" s="3" t="str">
        <f>Billetes_Brutos!C50</f>
        <v>Nicolas Torres</v>
      </c>
      <c r="D49" s="3" t="str">
        <f>IF(Billetes_Brutos!D50="","Sin correo",Billetes_Brutos!D50)</f>
        <v>Sin correo</v>
      </c>
      <c r="E49" s="3" t="str">
        <f>IF(Billetes_Brutos!E50="","No disponible",Billetes_Brutos!E50)</f>
        <v>18/03/1997</v>
      </c>
      <c r="F49" s="3" t="str">
        <f>Billetes_Brutos!F50</f>
        <v>Ocasional</v>
      </c>
      <c r="G49" s="3" t="str">
        <f>Billetes_Brutos!G50</f>
        <v>Cartagena</v>
      </c>
      <c r="H49" s="3" t="str">
        <f>Billetes_Brutos!H50</f>
        <v>Cali</v>
      </c>
      <c r="I49" s="3" t="str">
        <f>Billetes_Brutos!I50</f>
        <v>30/05/2026</v>
      </c>
      <c r="J49" s="3" t="str">
        <f>Billetes_Brutos!O50</f>
        <v>Segunda</v>
      </c>
      <c r="K49" s="3" t="str">
        <f>Billetes_Brutos!K50</f>
        <v>Pagado</v>
      </c>
      <c r="L49" s="4">
        <f>IF(Billetes_Brutos!L50="","Por confirmar",Billetes_Brutos!L50)</f>
        <v>70100</v>
      </c>
      <c r="M49" s="3" t="str">
        <f>Billetes_Brutos!M50</f>
        <v>29/01/2026</v>
      </c>
    </row>
    <row r="50" spans="1:13" ht="15" customHeight="1" x14ac:dyDescent="0.3">
      <c r="A50" s="3" t="str">
        <f>Billetes_Brutos!A51</f>
        <v>1041</v>
      </c>
      <c r="B50" s="3" t="str">
        <f>Billetes_Brutos!B51</f>
        <v>9</v>
      </c>
      <c r="C50" s="3" t="str">
        <f>Billetes_Brutos!C51</f>
        <v>Julian Martinez</v>
      </c>
      <c r="D50" s="3" t="str">
        <f>IF(Billetes_Brutos!D51="","Sin correo",Billetes_Brutos!D51)</f>
        <v>Sin correo</v>
      </c>
      <c r="E50" s="3" t="str">
        <f>IF(Billetes_Brutos!E51="","No disponible",Billetes_Brutos!E51)</f>
        <v>27/12/1973</v>
      </c>
      <c r="F50" s="3" t="str">
        <f>Billetes_Brutos!F51</f>
        <v>Ocasional</v>
      </c>
      <c r="G50" s="3" t="str">
        <f>Billetes_Brutos!G51</f>
        <v>Bucaramanga</v>
      </c>
      <c r="H50" s="3" t="str">
        <f>Billetes_Brutos!H51</f>
        <v>Cucuta</v>
      </c>
      <c r="I50" s="3" t="str">
        <f>Billetes_Brutos!I51</f>
        <v>08/04/2026</v>
      </c>
      <c r="J50" s="3" t="str">
        <f>Billetes_Brutos!O51</f>
        <v>Primera</v>
      </c>
      <c r="K50" s="3" t="str">
        <f>Billetes_Brutos!K51</f>
        <v>Anulado</v>
      </c>
      <c r="L50" s="4">
        <f>IF(Billetes_Brutos!L51="","Por confirmar",Billetes_Brutos!L51)</f>
        <v>114400</v>
      </c>
      <c r="M50" s="3" t="str">
        <f>Billetes_Brutos!M51</f>
        <v>21/11/2025</v>
      </c>
    </row>
    <row r="51" spans="1:13" ht="15" customHeight="1" x14ac:dyDescent="0.3">
      <c r="A51" s="3" t="str">
        <f>Billetes_Brutos!A52</f>
        <v>1077</v>
      </c>
      <c r="B51" s="3" t="str">
        <f>Billetes_Brutos!B52</f>
        <v>7</v>
      </c>
      <c r="C51" s="3" t="str">
        <f>Billetes_Brutos!C52</f>
        <v>Maria Sanchez</v>
      </c>
      <c r="D51" s="3" t="str">
        <f>IF(Billetes_Brutos!D52="","Sin correo",Billetes_Brutos!D52)</f>
        <v>Sin correo</v>
      </c>
      <c r="E51" s="3" t="str">
        <f>IF(Billetes_Brutos!E52="","No disponible",Billetes_Brutos!E52)</f>
        <v>14/05/2005</v>
      </c>
      <c r="F51" s="3" t="str">
        <f>Billetes_Brutos!F52</f>
        <v>Ocasional</v>
      </c>
      <c r="G51" s="3" t="str">
        <f>Billetes_Brutos!G52</f>
        <v>Cucuta</v>
      </c>
      <c r="H51" s="3" t="str">
        <f>Billetes_Brutos!H52</f>
        <v>Barranquilla</v>
      </c>
      <c r="I51" s="3" t="str">
        <f>Billetes_Brutos!I52</f>
        <v>15/06/2026</v>
      </c>
      <c r="J51" s="3" t="str">
        <f>Billetes_Brutos!O52</f>
        <v>Primera</v>
      </c>
      <c r="K51" s="3" t="str">
        <f>Billetes_Brutos!K52</f>
        <v>Pagado</v>
      </c>
      <c r="L51" s="4">
        <f>IF(Billetes_Brutos!L52="","Por confirmar",Billetes_Brutos!L52)</f>
        <v>237800</v>
      </c>
      <c r="M51" s="3" t="str">
        <f>Billetes_Brutos!M52</f>
        <v>16/04/2026</v>
      </c>
    </row>
    <row r="52" spans="1:13" ht="15" customHeight="1" x14ac:dyDescent="0.3">
      <c r="A52" s="3" t="str">
        <f>Billetes_Brutos!A53</f>
        <v>1081</v>
      </c>
      <c r="B52" s="3" t="str">
        <f>Billetes_Brutos!B53</f>
        <v>42</v>
      </c>
      <c r="C52" s="3" t="str">
        <f>Billetes_Brutos!C53</f>
        <v>Manuela Gomez</v>
      </c>
      <c r="D52" s="3" t="str">
        <f>IF(Billetes_Brutos!D53="","Sin correo",Billetes_Brutos!D53)</f>
        <v>Sin correo</v>
      </c>
      <c r="E52" s="3" t="str">
        <f>IF(Billetes_Brutos!E53="","No disponible",Billetes_Brutos!E53)</f>
        <v>19/04/1966</v>
      </c>
      <c r="F52" s="3" t="str">
        <f>Billetes_Brutos!F53</f>
        <v>Abonado</v>
      </c>
      <c r="G52" s="3" t="str">
        <f>Billetes_Brutos!G53</f>
        <v>Medellin</v>
      </c>
      <c r="H52" s="3" t="str">
        <f>Billetes_Brutos!H53</f>
        <v>Santa Marta</v>
      </c>
      <c r="I52" s="3" t="str">
        <f>Billetes_Brutos!I53</f>
        <v>23/02/2026</v>
      </c>
      <c r="J52" s="3" t="str">
        <f>Billetes_Brutos!O53</f>
        <v>Segunda</v>
      </c>
      <c r="K52" s="3" t="str">
        <f>Billetes_Brutos!K53</f>
        <v>Pagado</v>
      </c>
      <c r="L52" s="4">
        <f>IF(Billetes_Brutos!L53="","Por confirmar",Billetes_Brutos!L53)</f>
        <v>135400</v>
      </c>
      <c r="M52" s="3" t="str">
        <f>Billetes_Brutos!M53</f>
        <v>08/12/2025</v>
      </c>
    </row>
    <row r="53" spans="1:13" ht="15" customHeight="1" x14ac:dyDescent="0.3">
      <c r="A53" s="3" t="str">
        <f>Billetes_Brutos!A54</f>
        <v>1094</v>
      </c>
      <c r="B53" s="3" t="str">
        <f>Billetes_Brutos!B54</f>
        <v>19</v>
      </c>
      <c r="C53" s="3" t="str">
        <f>Billetes_Brutos!C54</f>
        <v>Juan Rodriguez</v>
      </c>
      <c r="D53" s="3" t="str">
        <f>IF(Billetes_Brutos!D54="","Sin correo",Billetes_Brutos!D54)</f>
        <v>Sin correo</v>
      </c>
      <c r="E53" s="3" t="str">
        <f>IF(Billetes_Brutos!E54="","No disponible",Billetes_Brutos!E54)</f>
        <v>06/10/1970</v>
      </c>
      <c r="F53" s="3" t="str">
        <f>Billetes_Brutos!F54</f>
        <v>Abonado</v>
      </c>
      <c r="G53" s="3" t="str">
        <f>Billetes_Brutos!G54</f>
        <v>Pereira</v>
      </c>
      <c r="H53" s="3" t="str">
        <f>Billetes_Brutos!H54</f>
        <v>Santa Marta</v>
      </c>
      <c r="I53" s="3" t="str">
        <f>Billetes_Brutos!I54</f>
        <v>30/06/2026</v>
      </c>
      <c r="J53" s="3" t="str">
        <f>Billetes_Brutos!O54</f>
        <v>Primera</v>
      </c>
      <c r="K53" s="3" t="str">
        <f>Billetes_Brutos!K54</f>
        <v>Pagado</v>
      </c>
      <c r="L53" s="4">
        <f>IF(Billetes_Brutos!L54="","Por confirmar",Billetes_Brutos!L54)</f>
        <v>266700</v>
      </c>
      <c r="M53" s="3" t="str">
        <f>Billetes_Brutos!M54</f>
        <v>19/11/2025</v>
      </c>
    </row>
    <row r="54" spans="1:13" ht="15" customHeight="1" x14ac:dyDescent="0.3">
      <c r="A54" s="3" t="str">
        <f>Billetes_Brutos!A55</f>
        <v>1000</v>
      </c>
      <c r="B54" s="3" t="str">
        <f>Billetes_Brutos!B55</f>
        <v>41</v>
      </c>
      <c r="C54" s="3" t="str">
        <f>Billetes_Brutos!C55</f>
        <v>Isabella Gomez</v>
      </c>
      <c r="D54" s="3" t="str">
        <f>IF(Billetes_Brutos!D55="","Sin correo",Billetes_Brutos!D55)</f>
        <v>isabella.gomez41@correo.co</v>
      </c>
      <c r="E54" s="3" t="str">
        <f>IF(Billetes_Brutos!E55="","No disponible",Billetes_Brutos!E55)</f>
        <v>09/07/1967</v>
      </c>
      <c r="F54" s="3" t="str">
        <f>Billetes_Brutos!F55</f>
        <v>Abonado</v>
      </c>
      <c r="G54" s="3" t="str">
        <f>Billetes_Brutos!G55</f>
        <v>Santa Marta</v>
      </c>
      <c r="H54" s="3" t="str">
        <f>Billetes_Brutos!H55</f>
        <v>Medellin</v>
      </c>
      <c r="I54" s="3" t="str">
        <f>Billetes_Brutos!I55</f>
        <v>01/06/2026</v>
      </c>
      <c r="J54" s="3" t="str">
        <f>Billetes_Brutos!O55</f>
        <v>Segunda</v>
      </c>
      <c r="K54" s="3" t="str">
        <f>Billetes_Brutos!K55</f>
        <v>Pagado</v>
      </c>
      <c r="L54" s="4">
        <f>IF(Billetes_Brutos!L55="","Por confirmar",Billetes_Brutos!L55)</f>
        <v>109000</v>
      </c>
      <c r="M54" s="3" t="str">
        <f>Billetes_Brutos!M55</f>
        <v>04/04/2026</v>
      </c>
    </row>
    <row r="55" spans="1:13" ht="15" customHeight="1" x14ac:dyDescent="0.3">
      <c r="A55" s="3" t="str">
        <f>Billetes_Brutos!A57</f>
        <v>1049</v>
      </c>
      <c r="B55" s="3" t="str">
        <f>Billetes_Brutos!B57</f>
        <v>24</v>
      </c>
      <c r="C55" s="3" t="str">
        <f>Billetes_Brutos!C57</f>
        <v>Paula Ramirez</v>
      </c>
      <c r="D55" s="3" t="str">
        <f>IF(Billetes_Brutos!D57="","Sin correo",Billetes_Brutos!D57)</f>
        <v>paula.ramirez24@correo.co</v>
      </c>
      <c r="E55" s="3" t="str">
        <f>IF(Billetes_Brutos!E57="","No disponible",Billetes_Brutos!E57)</f>
        <v>18/05/2004</v>
      </c>
      <c r="F55" s="3" t="str">
        <f>Billetes_Brutos!F57</f>
        <v>Ocasional</v>
      </c>
      <c r="G55" s="3" t="str">
        <f>Billetes_Brutos!G57</f>
        <v>Bucaramanga</v>
      </c>
      <c r="H55" s="3" t="str">
        <f>Billetes_Brutos!H57</f>
        <v>Manizales</v>
      </c>
      <c r="I55" s="3" t="str">
        <f>Billetes_Brutos!I57</f>
        <v>11/03/2026</v>
      </c>
      <c r="J55" s="3" t="str">
        <f>Billetes_Brutos!O57</f>
        <v>Primera</v>
      </c>
      <c r="K55" s="3" t="str">
        <f>Billetes_Brutos!K57</f>
        <v>Pagado</v>
      </c>
      <c r="L55" s="4">
        <f>IF(Billetes_Brutos!L57="","Por confirmar",Billetes_Brutos!L57)</f>
        <v>98000</v>
      </c>
      <c r="M55" s="3" t="str">
        <f>Billetes_Brutos!M57</f>
        <v>01/12/2025</v>
      </c>
    </row>
    <row r="56" spans="1:13" ht="15" customHeight="1" x14ac:dyDescent="0.3">
      <c r="A56" s="3" t="str">
        <f>Billetes_Brutos!A58</f>
        <v>1043</v>
      </c>
      <c r="B56" s="3" t="str">
        <f>Billetes_Brutos!B58</f>
        <v>43</v>
      </c>
      <c r="C56" s="3" t="str">
        <f>Billetes_Brutos!C58</f>
        <v>Isabella Torres</v>
      </c>
      <c r="D56" s="3" t="str">
        <f>IF(Billetes_Brutos!D58="","Sin correo",Billetes_Brutos!D58)</f>
        <v>isabella.torres43@correo.co</v>
      </c>
      <c r="E56" s="3" t="str">
        <f>IF(Billetes_Brutos!E58="","No disponible",Billetes_Brutos!E58)</f>
        <v>27/12/1977</v>
      </c>
      <c r="F56" s="3" t="str">
        <f>Billetes_Brutos!F58</f>
        <v>Ocasional</v>
      </c>
      <c r="G56" s="3" t="str">
        <f>Billetes_Brutos!G58</f>
        <v>Cali</v>
      </c>
      <c r="H56" s="3" t="str">
        <f>Billetes_Brutos!H58</f>
        <v>Medellin</v>
      </c>
      <c r="I56" s="3" t="str">
        <f>Billetes_Brutos!I58</f>
        <v>11/02/2026</v>
      </c>
      <c r="J56" s="3" t="str">
        <f>Billetes_Brutos!O58</f>
        <v>Primera</v>
      </c>
      <c r="K56" s="3" t="str">
        <f>Billetes_Brutos!K58</f>
        <v>Pagado</v>
      </c>
      <c r="L56" s="3" t="str">
        <f>IF(Billetes_Brutos!L58="","Por confirmar",Billetes_Brutos!L58)</f>
        <v>Por confirmar</v>
      </c>
      <c r="M56" s="3" t="str">
        <f>Billetes_Brutos!M58</f>
        <v>19/01/2026</v>
      </c>
    </row>
    <row r="57" spans="1:13" ht="15" customHeight="1" x14ac:dyDescent="0.3">
      <c r="A57" s="3" t="str">
        <f>Billetes_Brutos!A59</f>
        <v>1100</v>
      </c>
      <c r="B57" s="3" t="str">
        <f>Billetes_Brutos!B59</f>
        <v>5</v>
      </c>
      <c r="C57" s="3" t="str">
        <f>Billetes_Brutos!C59</f>
        <v>Sofia Sanchez</v>
      </c>
      <c r="D57" s="3" t="str">
        <f>IF(Billetes_Brutos!D59="","Sin correo",Billetes_Brutos!D59)</f>
        <v>sofia.sanchez5@correo.co</v>
      </c>
      <c r="E57" s="3" t="str">
        <f>IF(Billetes_Brutos!E59="","No disponible",Billetes_Brutos!E59)</f>
        <v>No disponible</v>
      </c>
      <c r="F57" s="3" t="str">
        <f>Billetes_Brutos!F59</f>
        <v>Ocasional</v>
      </c>
      <c r="G57" s="3" t="str">
        <f>Billetes_Brutos!G59</f>
        <v>Medellin</v>
      </c>
      <c r="H57" s="3" t="str">
        <f>Billetes_Brutos!H59</f>
        <v>Cucuta</v>
      </c>
      <c r="I57" s="3" t="str">
        <f>Billetes_Brutos!I59</f>
        <v>07/06/2026</v>
      </c>
      <c r="J57" s="3" t="str">
        <f>Billetes_Brutos!O59</f>
        <v>Segunda</v>
      </c>
      <c r="K57" s="3" t="str">
        <f>Billetes_Brutos!K59</f>
        <v>Pagado</v>
      </c>
      <c r="L57" s="4">
        <f>IF(Billetes_Brutos!L59="","Por confirmar",Billetes_Brutos!L59)</f>
        <v>197400</v>
      </c>
      <c r="M57" s="3" t="str">
        <f>Billetes_Brutos!M59</f>
        <v>22/05/2026</v>
      </c>
    </row>
    <row r="58" spans="1:13" ht="15" customHeight="1" x14ac:dyDescent="0.3">
      <c r="A58" s="3" t="str">
        <f>Billetes_Brutos!A60</f>
        <v>1074</v>
      </c>
      <c r="B58" s="3" t="str">
        <f>Billetes_Brutos!B60</f>
        <v>47</v>
      </c>
      <c r="C58" s="3" t="str">
        <f>Billetes_Brutos!C60</f>
        <v>Samuel Rodriguez</v>
      </c>
      <c r="D58" s="3" t="str">
        <f>IF(Billetes_Brutos!D60="","Sin correo",Billetes_Brutos!D60)</f>
        <v>samuel.rodriguez47@correo.co</v>
      </c>
      <c r="E58" s="3" t="str">
        <f>IF(Billetes_Brutos!E60="","No disponible",Billetes_Brutos!E60)</f>
        <v>11/04/1992</v>
      </c>
      <c r="F58" s="3" t="str">
        <f>Billetes_Brutos!F60</f>
        <v>Abonado</v>
      </c>
      <c r="G58" s="3" t="str">
        <f>Billetes_Brutos!G60</f>
        <v>Barranquilla</v>
      </c>
      <c r="H58" s="3" t="str">
        <f>Billetes_Brutos!H60</f>
        <v>Cali</v>
      </c>
      <c r="I58" s="3" t="str">
        <f>Billetes_Brutos!I60</f>
        <v>19/05/2026</v>
      </c>
      <c r="J58" s="3" t="str">
        <f>Billetes_Brutos!O60</f>
        <v>Primera</v>
      </c>
      <c r="K58" s="3" t="str">
        <f>Billetes_Brutos!K60</f>
        <v>Pagado</v>
      </c>
      <c r="L58" s="4">
        <f>IF(Billetes_Brutos!L60="","Por confirmar",Billetes_Brutos!L60)</f>
        <v>273400</v>
      </c>
      <c r="M58" s="3" t="str">
        <f>Billetes_Brutos!M60</f>
        <v>05/01/2026</v>
      </c>
    </row>
    <row r="59" spans="1:13" ht="15" customHeight="1" x14ac:dyDescent="0.3">
      <c r="A59" s="3" t="str">
        <f>Billetes_Brutos!A61</f>
        <v>1125</v>
      </c>
      <c r="B59" s="3" t="str">
        <f>Billetes_Brutos!B61</f>
        <v>51</v>
      </c>
      <c r="C59" s="3" t="str">
        <f>Billetes_Brutos!C61</f>
        <v>Paula Gomez</v>
      </c>
      <c r="D59" s="3" t="str">
        <f>IF(Billetes_Brutos!D61="","Sin correo",Billetes_Brutos!D61)</f>
        <v>paula.gomez51@correo.co</v>
      </c>
      <c r="E59" s="3" t="str">
        <f>IF(Billetes_Brutos!E61="","No disponible",Billetes_Brutos!E61)</f>
        <v>06/12/1996</v>
      </c>
      <c r="F59" s="3" t="str">
        <f>Billetes_Brutos!F61</f>
        <v>Abonado</v>
      </c>
      <c r="G59" s="3" t="str">
        <f>Billetes_Brutos!G61</f>
        <v>Cucuta</v>
      </c>
      <c r="H59" s="3" t="str">
        <f>Billetes_Brutos!H61</f>
        <v>Medellin</v>
      </c>
      <c r="I59" s="3" t="str">
        <f>Billetes_Brutos!I61</f>
        <v>17/01/2026</v>
      </c>
      <c r="J59" s="3" t="str">
        <f>Billetes_Brutos!O61</f>
        <v>Primera</v>
      </c>
      <c r="K59" s="3" t="str">
        <f>Billetes_Brutos!K61</f>
        <v>Pagado</v>
      </c>
      <c r="L59" s="4">
        <f>IF(Billetes_Brutos!L61="","Por confirmar",Billetes_Brutos!L61)</f>
        <v>176600</v>
      </c>
      <c r="M59" s="3" t="str">
        <f>Billetes_Brutos!M61</f>
        <v>14/02/2026</v>
      </c>
    </row>
    <row r="60" spans="1:13" ht="15" customHeight="1" x14ac:dyDescent="0.3">
      <c r="A60" s="3" t="str">
        <f>Billetes_Brutos!A62</f>
        <v>1021</v>
      </c>
      <c r="B60" s="3" t="str">
        <f>Billetes_Brutos!B62</f>
        <v>60</v>
      </c>
      <c r="C60" s="3" t="str">
        <f>Billetes_Brutos!C62</f>
        <v>Mateo Gomez</v>
      </c>
      <c r="D60" s="3" t="str">
        <f>IF(Billetes_Brutos!D62="","Sin correo",Billetes_Brutos!D62)</f>
        <v>mateo.gomez60@correo.co</v>
      </c>
      <c r="E60" s="3" t="str">
        <f>IF(Billetes_Brutos!E62="","No disponible",Billetes_Brutos!E62)</f>
        <v>21/12/1963</v>
      </c>
      <c r="F60" s="3" t="str">
        <f>Billetes_Brutos!F62</f>
        <v>Abonado</v>
      </c>
      <c r="G60" s="3" t="str">
        <f>Billetes_Brutos!G62</f>
        <v>Santa Marta</v>
      </c>
      <c r="H60" s="3" t="str">
        <f>Billetes_Brutos!H62</f>
        <v>Barranquilla</v>
      </c>
      <c r="I60" s="3" t="str">
        <f>Billetes_Brutos!I62</f>
        <v>10/05/2026</v>
      </c>
      <c r="J60" s="3" t="str">
        <f>Billetes_Brutos!O62</f>
        <v>Primera</v>
      </c>
      <c r="K60" s="3" t="str">
        <f>Billetes_Brutos!K62</f>
        <v>Pagado</v>
      </c>
      <c r="L60" s="4">
        <f>IF(Billetes_Brutos!L62="","Por confirmar",Billetes_Brutos!L62)</f>
        <v>63900</v>
      </c>
      <c r="M60" s="3" t="str">
        <f>Billetes_Brutos!M62</f>
        <v>02/01/2026</v>
      </c>
    </row>
    <row r="61" spans="1:13" ht="15" customHeight="1" x14ac:dyDescent="0.3">
      <c r="A61" s="3" t="str">
        <f>Billetes_Brutos!A63</f>
        <v>1103</v>
      </c>
      <c r="B61" s="3" t="str">
        <f>Billetes_Brutos!B63</f>
        <v>50</v>
      </c>
      <c r="C61" s="3" t="str">
        <f>Billetes_Brutos!C63</f>
        <v>Juan Torres</v>
      </c>
      <c r="D61" s="3" t="str">
        <f>IF(Billetes_Brutos!D63="","Sin correo",Billetes_Brutos!D63)</f>
        <v>Sin correo</v>
      </c>
      <c r="E61" s="3" t="str">
        <f>IF(Billetes_Brutos!E63="","No disponible",Billetes_Brutos!E63)</f>
        <v>08/01/1985</v>
      </c>
      <c r="F61" s="3" t="str">
        <f>Billetes_Brutos!F63</f>
        <v>Abonado</v>
      </c>
      <c r="G61" s="3" t="str">
        <f>Billetes_Brutos!G63</f>
        <v>Bucaramanga</v>
      </c>
      <c r="H61" s="3" t="str">
        <f>Billetes_Brutos!H63</f>
        <v>Medellin</v>
      </c>
      <c r="I61" s="3" t="str">
        <f>Billetes_Brutos!I63</f>
        <v>23/05/2026</v>
      </c>
      <c r="J61" s="3" t="str">
        <f>Billetes_Brutos!O63</f>
        <v>Segunda</v>
      </c>
      <c r="K61" s="3" t="str">
        <f>Billetes_Brutos!K63</f>
        <v>Pagado</v>
      </c>
      <c r="L61" s="4">
        <f>IF(Billetes_Brutos!L63="","Por confirmar",Billetes_Brutos!L63)</f>
        <v>279200</v>
      </c>
      <c r="M61" s="3" t="str">
        <f>Billetes_Brutos!M63</f>
        <v>21/06/2026</v>
      </c>
    </row>
    <row r="62" spans="1:13" ht="15" customHeight="1" x14ac:dyDescent="0.3">
      <c r="A62" s="3" t="str">
        <f>Billetes_Brutos!A64</f>
        <v>1063</v>
      </c>
      <c r="B62" s="3" t="str">
        <f>Billetes_Brutos!B64</f>
        <v>31</v>
      </c>
      <c r="C62" s="3" t="str">
        <f>Billetes_Brutos!C64</f>
        <v>Maria Sanchez</v>
      </c>
      <c r="D62" s="3" t="str">
        <f>IF(Billetes_Brutos!D64="","Sin correo",Billetes_Brutos!D64)</f>
        <v>maria.sanchez31@correo.co</v>
      </c>
      <c r="E62" s="3" t="str">
        <f>IF(Billetes_Brutos!E64="","No disponible",Billetes_Brutos!E64)</f>
        <v>06/08/2000</v>
      </c>
      <c r="F62" s="3" t="str">
        <f>Billetes_Brutos!F64</f>
        <v>Abonado</v>
      </c>
      <c r="G62" s="3" t="str">
        <f>Billetes_Brutos!G64</f>
        <v>Medellin</v>
      </c>
      <c r="H62" s="3" t="str">
        <f>Billetes_Brutos!H64</f>
        <v>Cartagena</v>
      </c>
      <c r="I62" s="3" t="str">
        <f>Billetes_Brutos!I64</f>
        <v>17/04/2026</v>
      </c>
      <c r="J62" s="3" t="str">
        <f>Billetes_Brutos!O64</f>
        <v>Primera</v>
      </c>
      <c r="K62" s="3" t="str">
        <f>Billetes_Brutos!K64</f>
        <v>Reembolsado</v>
      </c>
      <c r="L62" s="4">
        <f>IF(Billetes_Brutos!L64="","Por confirmar",Billetes_Brutos!L64)</f>
        <v>270700</v>
      </c>
      <c r="M62" s="3" t="str">
        <f>Billetes_Brutos!M64</f>
        <v>12/01/2026</v>
      </c>
    </row>
    <row r="63" spans="1:13" ht="15" customHeight="1" x14ac:dyDescent="0.3">
      <c r="A63" s="3" t="str">
        <f>Billetes_Brutos!A65</f>
        <v>1066</v>
      </c>
      <c r="B63" s="3" t="str">
        <f>Billetes_Brutos!B65</f>
        <v>32</v>
      </c>
      <c r="C63" s="3" t="str">
        <f>Billetes_Brutos!C65</f>
        <v>Valentina Martinez</v>
      </c>
      <c r="D63" s="3" t="str">
        <f>IF(Billetes_Brutos!D65="","Sin correo",Billetes_Brutos!D65)</f>
        <v>valentina.martinez32@correo.co</v>
      </c>
      <c r="E63" s="3" t="str">
        <f>IF(Billetes_Brutos!E65="","No disponible",Billetes_Brutos!E65)</f>
        <v>02/01/1964</v>
      </c>
      <c r="F63" s="3" t="str">
        <f>Billetes_Brutos!F65</f>
        <v>Ocasional</v>
      </c>
      <c r="G63" s="3" t="str">
        <f>Billetes_Brutos!G65</f>
        <v>Medellin</v>
      </c>
      <c r="H63" s="3" t="str">
        <f>Billetes_Brutos!H65</f>
        <v>Santa Marta</v>
      </c>
      <c r="I63" s="3" t="str">
        <f>Billetes_Brutos!I65</f>
        <v>27/04/2026</v>
      </c>
      <c r="J63" s="3" t="str">
        <f>Billetes_Brutos!O65</f>
        <v>Primera</v>
      </c>
      <c r="K63" s="3" t="str">
        <f>Billetes_Brutos!K65</f>
        <v>Pagado</v>
      </c>
      <c r="L63" s="4">
        <f>IF(Billetes_Brutos!L65="","Por confirmar",Billetes_Brutos!L65)</f>
        <v>225100</v>
      </c>
      <c r="M63" s="3" t="str">
        <f>Billetes_Brutos!M65</f>
        <v>10/12/2025</v>
      </c>
    </row>
    <row r="64" spans="1:13" ht="15" customHeight="1" x14ac:dyDescent="0.3">
      <c r="A64" s="3" t="str">
        <f>Billetes_Brutos!A66</f>
        <v>1029</v>
      </c>
      <c r="B64" s="3" t="str">
        <f>Billetes_Brutos!B66</f>
        <v>22</v>
      </c>
      <c r="C64" s="3" t="str">
        <f>Billetes_Brutos!C66</f>
        <v>Santiago Rodriguez</v>
      </c>
      <c r="D64" s="3" t="str">
        <f>IF(Billetes_Brutos!D66="","Sin correo",Billetes_Brutos!D66)</f>
        <v>santiago.rodriguez22@correo.co</v>
      </c>
      <c r="E64" s="3" t="str">
        <f>IF(Billetes_Brutos!E66="","No disponible",Billetes_Brutos!E66)</f>
        <v>25/10/1978</v>
      </c>
      <c r="F64" s="3" t="str">
        <f>Billetes_Brutos!F66</f>
        <v>Abonado</v>
      </c>
      <c r="G64" s="3" t="str">
        <f>Billetes_Brutos!G66</f>
        <v>Medellin</v>
      </c>
      <c r="H64" s="3" t="str">
        <f>Billetes_Brutos!H66</f>
        <v>Pereira</v>
      </c>
      <c r="I64" s="3" t="str">
        <f>Billetes_Brutos!I66</f>
        <v>30/03/2026</v>
      </c>
      <c r="J64" s="3" t="str">
        <f>Billetes_Brutos!O66</f>
        <v>Segunda</v>
      </c>
      <c r="K64" s="3" t="str">
        <f>Billetes_Brutos!K66</f>
        <v>Anulado</v>
      </c>
      <c r="L64" s="4">
        <f>IF(Billetes_Brutos!L66="","Por confirmar",Billetes_Brutos!L66)</f>
        <v>315700</v>
      </c>
      <c r="M64" s="3" t="str">
        <f>Billetes_Brutos!M66</f>
        <v>30/11/2025</v>
      </c>
    </row>
    <row r="65" spans="1:13" ht="15" customHeight="1" x14ac:dyDescent="0.3">
      <c r="A65" s="3" t="str">
        <f>Billetes_Brutos!A67</f>
        <v>1108</v>
      </c>
      <c r="B65" s="3" t="str">
        <f>Billetes_Brutos!B67</f>
        <v>58</v>
      </c>
      <c r="C65" s="3" t="str">
        <f>Billetes_Brutos!C67</f>
        <v>Sebastian Gonzalez</v>
      </c>
      <c r="D65" s="3" t="str">
        <f>IF(Billetes_Brutos!D67="","Sin correo",Billetes_Brutos!D67)</f>
        <v>sebastian.gonzalez58@correo.co</v>
      </c>
      <c r="E65" s="3" t="str">
        <f>IF(Billetes_Brutos!E67="","No disponible",Billetes_Brutos!E67)</f>
        <v>12/07/1994</v>
      </c>
      <c r="F65" s="3" t="str">
        <f>Billetes_Brutos!F67</f>
        <v>Ocasional</v>
      </c>
      <c r="G65" s="3" t="str">
        <f>Billetes_Brutos!G67</f>
        <v>Cartagena</v>
      </c>
      <c r="H65" s="3" t="str">
        <f>Billetes_Brutos!H67</f>
        <v>Pereira</v>
      </c>
      <c r="I65" s="3" t="str">
        <f>Billetes_Brutos!I67</f>
        <v>09/05/2026</v>
      </c>
      <c r="J65" s="3" t="str">
        <f>Billetes_Brutos!O67</f>
        <v>Segunda</v>
      </c>
      <c r="K65" s="3" t="str">
        <f>Billetes_Brutos!K67</f>
        <v>Pagado</v>
      </c>
      <c r="L65" s="4">
        <f>IF(Billetes_Brutos!L67="","Por confirmar",Billetes_Brutos!L67)</f>
        <v>99900</v>
      </c>
      <c r="M65" s="3" t="str">
        <f>Billetes_Brutos!M67</f>
        <v>04/04/2026</v>
      </c>
    </row>
    <row r="66" spans="1:13" ht="15" customHeight="1" x14ac:dyDescent="0.3">
      <c r="A66" s="3" t="str">
        <f>Billetes_Brutos!A68</f>
        <v>1006</v>
      </c>
      <c r="B66" s="3" t="str">
        <f>Billetes_Brutos!B68</f>
        <v>42</v>
      </c>
      <c r="C66" s="3" t="str">
        <f>Billetes_Brutos!C68</f>
        <v>Paula Perez</v>
      </c>
      <c r="D66" s="3" t="str">
        <f>IF(Billetes_Brutos!D68="","Sin correo",Billetes_Brutos!D68)</f>
        <v>paula.perez42@correo.co</v>
      </c>
      <c r="E66" s="3" t="str">
        <f>IF(Billetes_Brutos!E68="","No disponible",Billetes_Brutos!E68)</f>
        <v>26/10/1967</v>
      </c>
      <c r="F66" s="3" t="str">
        <f>Billetes_Brutos!F68</f>
        <v>Ocasional</v>
      </c>
      <c r="G66" s="3" t="str">
        <f>Billetes_Brutos!G68</f>
        <v>Cali</v>
      </c>
      <c r="H66" s="3" t="str">
        <f>Billetes_Brutos!H68</f>
        <v>Barranquilla</v>
      </c>
      <c r="I66" s="3" t="str">
        <f>Billetes_Brutos!I68</f>
        <v>24/05/2026</v>
      </c>
      <c r="J66" s="3" t="str">
        <f>Billetes_Brutos!O68</f>
        <v>Segunda</v>
      </c>
      <c r="K66" s="3" t="str">
        <f>Billetes_Brutos!K68</f>
        <v>Pagado</v>
      </c>
      <c r="L66" s="4">
        <f>IF(Billetes_Brutos!L68="","Por confirmar",Billetes_Brutos!L68)</f>
        <v>291900</v>
      </c>
      <c r="M66" s="3" t="str">
        <f>Billetes_Brutos!M68</f>
        <v>11/02/2026</v>
      </c>
    </row>
    <row r="67" spans="1:13" ht="15" customHeight="1" x14ac:dyDescent="0.3">
      <c r="A67" s="3" t="str">
        <f>Billetes_Brutos!A69</f>
        <v>1112</v>
      </c>
      <c r="B67" s="3" t="str">
        <f>Billetes_Brutos!B69</f>
        <v>40</v>
      </c>
      <c r="C67" s="3" t="str">
        <f>Billetes_Brutos!C69</f>
        <v>Santiago Rodriguez</v>
      </c>
      <c r="D67" s="3" t="str">
        <f>IF(Billetes_Brutos!D69="","Sin correo",Billetes_Brutos!D69)</f>
        <v>Sin correo</v>
      </c>
      <c r="E67" s="3" t="str">
        <f>IF(Billetes_Brutos!E69="","No disponible",Billetes_Brutos!E69)</f>
        <v>31/05/1968</v>
      </c>
      <c r="F67" s="3" t="str">
        <f>Billetes_Brutos!F69</f>
        <v>Ocasional</v>
      </c>
      <c r="G67" s="3" t="str">
        <f>Billetes_Brutos!G69</f>
        <v>Medellin</v>
      </c>
      <c r="H67" s="3" t="str">
        <f>Billetes_Brutos!H69</f>
        <v>Cartagena</v>
      </c>
      <c r="I67" s="3" t="str">
        <f>Billetes_Brutos!I69</f>
        <v>02/03/2026</v>
      </c>
      <c r="J67" s="3" t="str">
        <f>Billetes_Brutos!O69</f>
        <v>Primera</v>
      </c>
      <c r="K67" s="3" t="str">
        <f>Billetes_Brutos!K69</f>
        <v>Pagado</v>
      </c>
      <c r="L67" s="4">
        <f>IF(Billetes_Brutos!L69="","Por confirmar",Billetes_Brutos!L69)</f>
        <v>220700</v>
      </c>
      <c r="M67" s="3" t="str">
        <f>Billetes_Brutos!M69</f>
        <v>09/04/2026</v>
      </c>
    </row>
    <row r="68" spans="1:13" ht="15" customHeight="1" x14ac:dyDescent="0.3">
      <c r="A68" s="3" t="str">
        <f>Billetes_Brutos!A70</f>
        <v>1030</v>
      </c>
      <c r="B68" s="3" t="str">
        <f>Billetes_Brutos!B70</f>
        <v>25</v>
      </c>
      <c r="C68" s="3" t="str">
        <f>Billetes_Brutos!C70</f>
        <v>Diego Hernandez</v>
      </c>
      <c r="D68" s="3" t="str">
        <f>IF(Billetes_Brutos!D70="","Sin correo",Billetes_Brutos!D70)</f>
        <v>diego.hernandez25@correo.co</v>
      </c>
      <c r="E68" s="3" t="str">
        <f>IF(Billetes_Brutos!E70="","No disponible",Billetes_Brutos!E70)</f>
        <v>25/02/1955</v>
      </c>
      <c r="F68" s="3" t="str">
        <f>Billetes_Brutos!F70</f>
        <v>Abonado</v>
      </c>
      <c r="G68" s="3" t="str">
        <f>Billetes_Brutos!G70</f>
        <v>Bucaramanga</v>
      </c>
      <c r="H68" s="3" t="str">
        <f>Billetes_Brutos!H70</f>
        <v>Pereira</v>
      </c>
      <c r="I68" s="3" t="str">
        <f>Billetes_Brutos!I70</f>
        <v>18/01/2026</v>
      </c>
      <c r="J68" s="3" t="str">
        <f>Billetes_Brutos!O70</f>
        <v>Segunda</v>
      </c>
      <c r="K68" s="3" t="str">
        <f>Billetes_Brutos!K70</f>
        <v>Reembolsado</v>
      </c>
      <c r="L68" s="4">
        <f>IF(Billetes_Brutos!L70="","Por confirmar",Billetes_Brutos!L70)</f>
        <v>227400</v>
      </c>
      <c r="M68" s="3" t="str">
        <f>Billetes_Brutos!M70</f>
        <v>02/12/2025</v>
      </c>
    </row>
    <row r="69" spans="1:13" ht="15" customHeight="1" x14ac:dyDescent="0.3">
      <c r="A69" s="3" t="str">
        <f>Billetes_Brutos!A71</f>
        <v>1013</v>
      </c>
      <c r="B69" s="3" t="str">
        <f>Billetes_Brutos!B71</f>
        <v>1</v>
      </c>
      <c r="C69" s="3" t="str">
        <f>Billetes_Brutos!C71</f>
        <v>Mateo Gomez</v>
      </c>
      <c r="D69" s="3" t="str">
        <f>IF(Billetes_Brutos!D71="","Sin correo",Billetes_Brutos!D71)</f>
        <v>mateo.gomez1@correo.co</v>
      </c>
      <c r="E69" s="3" t="str">
        <f>IF(Billetes_Brutos!E71="","No disponible",Billetes_Brutos!E71)</f>
        <v>23/08/1984</v>
      </c>
      <c r="F69" s="3" t="str">
        <f>Billetes_Brutos!F71</f>
        <v>Abonado</v>
      </c>
      <c r="G69" s="3" t="str">
        <f>Billetes_Brutos!G71</f>
        <v>Santa Marta</v>
      </c>
      <c r="H69" s="3" t="str">
        <f>Billetes_Brutos!H71</f>
        <v>Barranquilla</v>
      </c>
      <c r="I69" s="3" t="str">
        <f>Billetes_Brutos!I71</f>
        <v>13/03/2026</v>
      </c>
      <c r="J69" s="3" t="str">
        <f>Billetes_Brutos!O71</f>
        <v>Segunda</v>
      </c>
      <c r="K69" s="3" t="str">
        <f>Billetes_Brutos!K71</f>
        <v>Pagado</v>
      </c>
      <c r="L69" s="4">
        <f>IF(Billetes_Brutos!L71="","Por confirmar",Billetes_Brutos!L71)</f>
        <v>243900</v>
      </c>
      <c r="M69" s="3" t="str">
        <f>Billetes_Brutos!M71</f>
        <v>14/06/2026</v>
      </c>
    </row>
    <row r="70" spans="1:13" ht="15" customHeight="1" x14ac:dyDescent="0.3">
      <c r="A70" s="3" t="str">
        <f>Billetes_Brutos!A72</f>
        <v>1017</v>
      </c>
      <c r="B70" s="3" t="str">
        <f>Billetes_Brutos!B72</f>
        <v>58</v>
      </c>
      <c r="C70" s="3" t="str">
        <f>Billetes_Brutos!C72</f>
        <v>Valentina Martinez</v>
      </c>
      <c r="D70" s="3" t="str">
        <f>IF(Billetes_Brutos!D72="","Sin correo",Billetes_Brutos!D72)</f>
        <v>valentina.martinez58@correo.co</v>
      </c>
      <c r="E70" s="3" t="str">
        <f>IF(Billetes_Brutos!E72="","No disponible",Billetes_Brutos!E72)</f>
        <v>17/10/1978</v>
      </c>
      <c r="F70" s="3" t="str">
        <f>Billetes_Brutos!F72</f>
        <v>Ocasional</v>
      </c>
      <c r="G70" s="3" t="str">
        <f>Billetes_Brutos!G72</f>
        <v>Cartagena</v>
      </c>
      <c r="H70" s="3" t="str">
        <f>Billetes_Brutos!H72</f>
        <v>Pereira</v>
      </c>
      <c r="I70" s="3" t="str">
        <f>Billetes_Brutos!I72</f>
        <v>28/06/2026</v>
      </c>
      <c r="J70" s="3" t="str">
        <f>Billetes_Brutos!O72</f>
        <v>Segunda</v>
      </c>
      <c r="K70" s="3" t="str">
        <f>Billetes_Brutos!K72</f>
        <v>Reembolsado</v>
      </c>
      <c r="L70" s="4">
        <f>IF(Billetes_Brutos!L72="","Por confirmar",Billetes_Brutos!L72)</f>
        <v>242600</v>
      </c>
      <c r="M70" s="3" t="str">
        <f>Billetes_Brutos!M72</f>
        <v>10/12/2025</v>
      </c>
    </row>
    <row r="71" spans="1:13" ht="15" customHeight="1" x14ac:dyDescent="0.3">
      <c r="A71" s="3" t="str">
        <f>Billetes_Brutos!A73</f>
        <v>1091</v>
      </c>
      <c r="B71" s="3" t="str">
        <f>Billetes_Brutos!B73</f>
        <v>2</v>
      </c>
      <c r="C71" s="3" t="str">
        <f>Billetes_Brutos!C73</f>
        <v>Mateo Ramirez</v>
      </c>
      <c r="D71" s="3" t="str">
        <f>IF(Billetes_Brutos!D73="","Sin correo",Billetes_Brutos!D73)</f>
        <v>mateo.ramirez2@correo.co</v>
      </c>
      <c r="E71" s="3" t="str">
        <f>IF(Billetes_Brutos!E73="","No disponible",Billetes_Brutos!E73)</f>
        <v>01/08/1985</v>
      </c>
      <c r="F71" s="3" t="str">
        <f>Billetes_Brutos!F73</f>
        <v>Abonado</v>
      </c>
      <c r="G71" s="3" t="str">
        <f>Billetes_Brutos!G73</f>
        <v>Bucaramanga</v>
      </c>
      <c r="H71" s="3" t="str">
        <f>Billetes_Brutos!H73</f>
        <v>Cartagena</v>
      </c>
      <c r="I71" s="3" t="str">
        <f>Billetes_Brutos!I73</f>
        <v>25/03/2026</v>
      </c>
      <c r="J71" s="3" t="str">
        <f>Billetes_Brutos!O73</f>
        <v>Segunda</v>
      </c>
      <c r="K71" s="3" t="str">
        <f>Billetes_Brutos!K73</f>
        <v>Pagado</v>
      </c>
      <c r="L71" s="4">
        <f>IF(Billetes_Brutos!L73="","Por confirmar",Billetes_Brutos!L73)</f>
        <v>87800</v>
      </c>
      <c r="M71" s="3" t="str">
        <f>Billetes_Brutos!M73</f>
        <v>13/05/2026</v>
      </c>
    </row>
    <row r="72" spans="1:13" ht="15" customHeight="1" x14ac:dyDescent="0.3">
      <c r="A72" s="3" t="str">
        <f>Billetes_Brutos!A74</f>
        <v>1131</v>
      </c>
      <c r="B72" s="3" t="str">
        <f>Billetes_Brutos!B74</f>
        <v>27</v>
      </c>
      <c r="C72" s="3" t="str">
        <f>Billetes_Brutos!C74</f>
        <v>Paula Sanchez</v>
      </c>
      <c r="D72" s="3" t="str">
        <f>IF(Billetes_Brutos!D74="","Sin correo",Billetes_Brutos!D74)</f>
        <v>paula.sanchez27@correo.co</v>
      </c>
      <c r="E72" s="3" t="str">
        <f>IF(Billetes_Brutos!E74="","No disponible",Billetes_Brutos!E74)</f>
        <v>16/01/1983</v>
      </c>
      <c r="F72" s="3" t="str">
        <f>Billetes_Brutos!F74</f>
        <v>Ocasional</v>
      </c>
      <c r="G72" s="3" t="str">
        <f>Billetes_Brutos!G74</f>
        <v>Bucaramanga</v>
      </c>
      <c r="H72" s="3" t="str">
        <f>Billetes_Brutos!H74</f>
        <v>Pereira</v>
      </c>
      <c r="I72" s="3" t="str">
        <f>Billetes_Brutos!I74</f>
        <v>03/02/2026</v>
      </c>
      <c r="J72" s="3" t="str">
        <f>Billetes_Brutos!O74</f>
        <v>Primera</v>
      </c>
      <c r="K72" s="3" t="str">
        <f>Billetes_Brutos!K74</f>
        <v>Pagado</v>
      </c>
      <c r="L72" s="4">
        <f>IF(Billetes_Brutos!L74="","Por confirmar",Billetes_Brutos!L74)</f>
        <v>111500</v>
      </c>
      <c r="M72" s="3" t="str">
        <f>Billetes_Brutos!M74</f>
        <v>02/12/2025</v>
      </c>
    </row>
    <row r="73" spans="1:13" ht="15" customHeight="1" x14ac:dyDescent="0.3">
      <c r="A73" s="3" t="str">
        <f>Billetes_Brutos!A75</f>
        <v>1034</v>
      </c>
      <c r="B73" s="3" t="str">
        <f>Billetes_Brutos!B75</f>
        <v>40</v>
      </c>
      <c r="C73" s="3" t="str">
        <f>Billetes_Brutos!C75</f>
        <v>Mateo Sanchez</v>
      </c>
      <c r="D73" s="3" t="str">
        <f>IF(Billetes_Brutos!D75="","Sin correo",Billetes_Brutos!D75)</f>
        <v>mateo.sanchez40@correo.co</v>
      </c>
      <c r="E73" s="3" t="str">
        <f>IF(Billetes_Brutos!E75="","No disponible",Billetes_Brutos!E75)</f>
        <v>11/06/1972</v>
      </c>
      <c r="F73" s="3" t="str">
        <f>Billetes_Brutos!F75</f>
        <v>Ocasional</v>
      </c>
      <c r="G73" s="3" t="str">
        <f>Billetes_Brutos!G75</f>
        <v>Manizales</v>
      </c>
      <c r="H73" s="3" t="str">
        <f>Billetes_Brutos!H75</f>
        <v>Pereira</v>
      </c>
      <c r="I73" s="3" t="str">
        <f>Billetes_Brutos!I75</f>
        <v>04/03/2026</v>
      </c>
      <c r="J73" s="3" t="str">
        <f>Billetes_Brutos!O75</f>
        <v>Primera</v>
      </c>
      <c r="K73" s="3" t="str">
        <f>Billetes_Brutos!K75</f>
        <v>Pagado</v>
      </c>
      <c r="L73" s="3" t="str">
        <f>IF(Billetes_Brutos!L75="","Por confirmar",Billetes_Brutos!L75)</f>
        <v>Por confirmar</v>
      </c>
      <c r="M73" s="3" t="str">
        <f>Billetes_Brutos!M75</f>
        <v>12/05/2026</v>
      </c>
    </row>
    <row r="74" spans="1:13" ht="15" customHeight="1" x14ac:dyDescent="0.3">
      <c r="A74" s="3" t="str">
        <f>Billetes_Brutos!A76</f>
        <v>1068</v>
      </c>
      <c r="B74" s="3" t="str">
        <f>Billetes_Brutos!B76</f>
        <v>40</v>
      </c>
      <c r="C74" s="3" t="str">
        <f>Billetes_Brutos!C76</f>
        <v>Mateo Hernandez</v>
      </c>
      <c r="D74" s="3" t="str">
        <f>IF(Billetes_Brutos!D76="","Sin correo",Billetes_Brutos!D76)</f>
        <v>mateo.hernandez40@correo.co</v>
      </c>
      <c r="E74" s="3" t="str">
        <f>IF(Billetes_Brutos!E76="","No disponible",Billetes_Brutos!E76)</f>
        <v>30/05/1975</v>
      </c>
      <c r="F74" s="3" t="str">
        <f>Billetes_Brutos!F76</f>
        <v>Abonado</v>
      </c>
      <c r="G74" s="3" t="str">
        <f>Billetes_Brutos!G76</f>
        <v>Pereira</v>
      </c>
      <c r="H74" s="3" t="str">
        <f>Billetes_Brutos!H76</f>
        <v>Medellin</v>
      </c>
      <c r="I74" s="3" t="str">
        <f>Billetes_Brutos!I76</f>
        <v>12/06/2026</v>
      </c>
      <c r="J74" s="3" t="str">
        <f>Billetes_Brutos!O76</f>
        <v>Segunda</v>
      </c>
      <c r="K74" s="3" t="str">
        <f>Billetes_Brutos!K76</f>
        <v>Anulado</v>
      </c>
      <c r="L74" s="4">
        <f>IF(Billetes_Brutos!L76="","Por confirmar",Billetes_Brutos!L76)</f>
        <v>235900</v>
      </c>
      <c r="M74" s="3" t="str">
        <f>Billetes_Brutos!M76</f>
        <v>20/06/2026</v>
      </c>
    </row>
    <row r="75" spans="1:13" ht="15" customHeight="1" x14ac:dyDescent="0.3">
      <c r="A75" s="3" t="str">
        <f>Billetes_Brutos!A77</f>
        <v>1025</v>
      </c>
      <c r="B75" s="3" t="str">
        <f>Billetes_Brutos!B77</f>
        <v>58</v>
      </c>
      <c r="C75" s="3" t="str">
        <f>Billetes_Brutos!C77</f>
        <v>Samuel Ramirez</v>
      </c>
      <c r="D75" s="3" t="str">
        <f>IF(Billetes_Brutos!D77="","Sin correo",Billetes_Brutos!D77)</f>
        <v>Sin correo</v>
      </c>
      <c r="E75" s="3" t="str">
        <f>IF(Billetes_Brutos!E77="","No disponible",Billetes_Brutos!E77)</f>
        <v>27/07/2004</v>
      </c>
      <c r="F75" s="3" t="str">
        <f>Billetes_Brutos!F77</f>
        <v>Abonado</v>
      </c>
      <c r="G75" s="3" t="str">
        <f>Billetes_Brutos!G77</f>
        <v>Pereira</v>
      </c>
      <c r="H75" s="3" t="str">
        <f>Billetes_Brutos!H77</f>
        <v>Cali</v>
      </c>
      <c r="I75" s="3" t="str">
        <f>Billetes_Brutos!I77</f>
        <v>11/01/2026</v>
      </c>
      <c r="J75" s="3" t="str">
        <f>Billetes_Brutos!O77</f>
        <v>Primera</v>
      </c>
      <c r="K75" s="3" t="str">
        <f>Billetes_Brutos!K77</f>
        <v>Pagado</v>
      </c>
      <c r="L75" s="4">
        <f>IF(Billetes_Brutos!L77="","Por confirmar",Billetes_Brutos!L77)</f>
        <v>312400</v>
      </c>
      <c r="M75" s="3" t="str">
        <f>Billetes_Brutos!M77</f>
        <v>11/11/2025</v>
      </c>
    </row>
    <row r="76" spans="1:13" ht="15" customHeight="1" x14ac:dyDescent="0.3">
      <c r="A76" s="3" t="str">
        <f>Billetes_Brutos!A78</f>
        <v>1027</v>
      </c>
      <c r="B76" s="3" t="str">
        <f>Billetes_Brutos!B78</f>
        <v>12</v>
      </c>
      <c r="C76" s="3" t="str">
        <f>Billetes_Brutos!C78</f>
        <v>Juan Perez</v>
      </c>
      <c r="D76" s="3" t="str">
        <f>IF(Billetes_Brutos!D78="","Sin correo",Billetes_Brutos!D78)</f>
        <v>juan.perez12@correo.co</v>
      </c>
      <c r="E76" s="3" t="str">
        <f>IF(Billetes_Brutos!E78="","No disponible",Billetes_Brutos!E78)</f>
        <v>06/04/1977</v>
      </c>
      <c r="F76" s="3" t="str">
        <f>Billetes_Brutos!F78</f>
        <v>Ocasional</v>
      </c>
      <c r="G76" s="3" t="str">
        <f>Billetes_Brutos!G78</f>
        <v>Cali</v>
      </c>
      <c r="H76" s="3" t="str">
        <f>Billetes_Brutos!H78</f>
        <v>Medellin</v>
      </c>
      <c r="I76" s="3" t="str">
        <f>Billetes_Brutos!I78</f>
        <v>08/04/2026</v>
      </c>
      <c r="J76" s="3" t="str">
        <f>Billetes_Brutos!O78</f>
        <v>Primera</v>
      </c>
      <c r="K76" s="3" t="str">
        <f>Billetes_Brutos!K78</f>
        <v>Anulado</v>
      </c>
      <c r="L76" s="4">
        <f>IF(Billetes_Brutos!L78="","Por confirmar",Billetes_Brutos!L78)</f>
        <v>269600</v>
      </c>
      <c r="M76" s="3" t="str">
        <f>Billetes_Brutos!M78</f>
        <v>26/02/2026</v>
      </c>
    </row>
    <row r="77" spans="1:13" ht="15" customHeight="1" x14ac:dyDescent="0.3">
      <c r="A77" s="3" t="str">
        <f>Billetes_Brutos!A79</f>
        <v>1106</v>
      </c>
      <c r="B77" s="3" t="str">
        <f>Billetes_Brutos!B79</f>
        <v>15</v>
      </c>
      <c r="C77" s="3" t="str">
        <f>Billetes_Brutos!C79</f>
        <v>Samuel Martinez</v>
      </c>
      <c r="D77" s="3" t="str">
        <f>IF(Billetes_Brutos!D79="","Sin correo",Billetes_Brutos!D79)</f>
        <v>Sin correo</v>
      </c>
      <c r="E77" s="3" t="str">
        <f>IF(Billetes_Brutos!E79="","No disponible",Billetes_Brutos!E79)</f>
        <v>28/01/1964</v>
      </c>
      <c r="F77" s="3" t="str">
        <f>Billetes_Brutos!F79</f>
        <v>Abonado</v>
      </c>
      <c r="G77" s="3" t="str">
        <f>Billetes_Brutos!G79</f>
        <v>Bucaramanga</v>
      </c>
      <c r="H77" s="3" t="str">
        <f>Billetes_Brutos!H79</f>
        <v>Cali</v>
      </c>
      <c r="I77" s="3" t="str">
        <f>Billetes_Brutos!I79</f>
        <v>02/06/2026</v>
      </c>
      <c r="J77" s="3" t="str">
        <f>Billetes_Brutos!O79</f>
        <v>Segunda</v>
      </c>
      <c r="K77" s="3" t="str">
        <f>Billetes_Brutos!K79</f>
        <v>Pagado</v>
      </c>
      <c r="L77" s="4">
        <f>IF(Billetes_Brutos!L79="","Por confirmar",Billetes_Brutos!L79)</f>
        <v>235500</v>
      </c>
      <c r="M77" s="3" t="str">
        <f>Billetes_Brutos!M79</f>
        <v>09/04/2026</v>
      </c>
    </row>
    <row r="78" spans="1:13" ht="15" customHeight="1" x14ac:dyDescent="0.3">
      <c r="A78" s="3" t="str">
        <f>Billetes_Brutos!A80</f>
        <v>1032</v>
      </c>
      <c r="B78" s="3" t="str">
        <f>Billetes_Brutos!B80</f>
        <v>40</v>
      </c>
      <c r="C78" s="3" t="str">
        <f>Billetes_Brutos!C80</f>
        <v>Diego Lopez</v>
      </c>
      <c r="D78" s="3" t="str">
        <f>IF(Billetes_Brutos!D80="","Sin correo",Billetes_Brutos!D80)</f>
        <v>diego.lopez40@correo.co</v>
      </c>
      <c r="E78" s="3" t="str">
        <f>IF(Billetes_Brutos!E80="","No disponible",Billetes_Brutos!E80)</f>
        <v>06/04/1982</v>
      </c>
      <c r="F78" s="3" t="str">
        <f>Billetes_Brutos!F80</f>
        <v>Ocasional</v>
      </c>
      <c r="G78" s="3" t="str">
        <f>Billetes_Brutos!G80</f>
        <v>Barranquilla</v>
      </c>
      <c r="H78" s="3" t="str">
        <f>Billetes_Brutos!H80</f>
        <v>Pereira</v>
      </c>
      <c r="I78" s="3" t="str">
        <f>Billetes_Brutos!I80</f>
        <v>29/05/2026</v>
      </c>
      <c r="J78" s="3" t="str">
        <f>Billetes_Brutos!O80</f>
        <v>Segunda</v>
      </c>
      <c r="K78" s="3" t="str">
        <f>Billetes_Brutos!K80</f>
        <v>Pagado</v>
      </c>
      <c r="L78" s="4">
        <f>IF(Billetes_Brutos!L80="","Por confirmar",Billetes_Brutos!L80)</f>
        <v>166600</v>
      </c>
      <c r="M78" s="3" t="str">
        <f>Billetes_Brutos!M80</f>
        <v>25/12/2025</v>
      </c>
    </row>
    <row r="79" spans="1:13" ht="15" customHeight="1" x14ac:dyDescent="0.3">
      <c r="A79" s="3" t="str">
        <f>Billetes_Brutos!A81</f>
        <v>1056</v>
      </c>
      <c r="B79" s="3" t="str">
        <f>Billetes_Brutos!B81</f>
        <v>4</v>
      </c>
      <c r="C79" s="3" t="str">
        <f>Billetes_Brutos!C81</f>
        <v>Camila Lopez</v>
      </c>
      <c r="D79" s="3" t="str">
        <f>IF(Billetes_Brutos!D81="","Sin correo",Billetes_Brutos!D81)</f>
        <v>camila.lopez4@correo.co</v>
      </c>
      <c r="E79" s="3" t="str">
        <f>IF(Billetes_Brutos!E81="","No disponible",Billetes_Brutos!E81)</f>
        <v>22/11/1980</v>
      </c>
      <c r="F79" s="3" t="str">
        <f>Billetes_Brutos!F81</f>
        <v>Ocasional</v>
      </c>
      <c r="G79" s="3" t="str">
        <f>Billetes_Brutos!G81</f>
        <v>Medellin</v>
      </c>
      <c r="H79" s="3" t="str">
        <f>Billetes_Brutos!H81</f>
        <v>Manizales</v>
      </c>
      <c r="I79" s="3" t="str">
        <f>Billetes_Brutos!I81</f>
        <v>26/06/2026</v>
      </c>
      <c r="J79" s="3" t="str">
        <f>Billetes_Brutos!O81</f>
        <v>Primera</v>
      </c>
      <c r="K79" s="3" t="str">
        <f>Billetes_Brutos!K81</f>
        <v>Pagado</v>
      </c>
      <c r="L79" s="4">
        <f>IF(Billetes_Brutos!L81="","Por confirmar",Billetes_Brutos!L81)</f>
        <v>182600</v>
      </c>
      <c r="M79" s="3" t="str">
        <f>Billetes_Brutos!M81</f>
        <v>07/03/2026</v>
      </c>
    </row>
    <row r="80" spans="1:13" ht="15" customHeight="1" x14ac:dyDescent="0.3">
      <c r="A80" s="3" t="str">
        <f>Billetes_Brutos!A82</f>
        <v>1101</v>
      </c>
      <c r="B80" s="3" t="str">
        <f>Billetes_Brutos!B82</f>
        <v>48</v>
      </c>
      <c r="C80" s="3" t="str">
        <f>Billetes_Brutos!C82</f>
        <v>Valentina Sanchez</v>
      </c>
      <c r="D80" s="3" t="str">
        <f>IF(Billetes_Brutos!D82="","Sin correo",Billetes_Brutos!D82)</f>
        <v>valentina.sanchez48@correo.co</v>
      </c>
      <c r="E80" s="3" t="str">
        <f>IF(Billetes_Brutos!E82="","No disponible",Billetes_Brutos!E82)</f>
        <v>21/11/1971</v>
      </c>
      <c r="F80" s="3" t="str">
        <f>Billetes_Brutos!F82</f>
        <v>Ocasional</v>
      </c>
      <c r="G80" s="3" t="str">
        <f>Billetes_Brutos!G82</f>
        <v>Cucuta</v>
      </c>
      <c r="H80" s="3" t="str">
        <f>Billetes_Brutos!H82</f>
        <v>Manizales</v>
      </c>
      <c r="I80" s="3" t="str">
        <f>Billetes_Brutos!I82</f>
        <v>09/05/2026</v>
      </c>
      <c r="J80" s="3" t="str">
        <f>Billetes_Brutos!O82</f>
        <v>Primera</v>
      </c>
      <c r="K80" s="3" t="str">
        <f>Billetes_Brutos!K82</f>
        <v>Reembolsado</v>
      </c>
      <c r="L80" s="4">
        <f>IF(Billetes_Brutos!L82="","Por confirmar",Billetes_Brutos!L82)</f>
        <v>268000</v>
      </c>
      <c r="M80" s="3" t="str">
        <f>Billetes_Brutos!M82</f>
        <v>03/06/2026</v>
      </c>
    </row>
    <row r="81" spans="1:13" ht="15" customHeight="1" x14ac:dyDescent="0.3">
      <c r="A81" s="3" t="str">
        <f>Billetes_Brutos!A83</f>
        <v>1010</v>
      </c>
      <c r="B81" s="3" t="str">
        <f>Billetes_Brutos!B83</f>
        <v>59</v>
      </c>
      <c r="C81" s="3" t="str">
        <f>Billetes_Brutos!C83</f>
        <v>Santiago Torres</v>
      </c>
      <c r="D81" s="3" t="str">
        <f>IF(Billetes_Brutos!D83="","Sin correo",Billetes_Brutos!D83)</f>
        <v>santiago.torres59@correo.co</v>
      </c>
      <c r="E81" s="3" t="str">
        <f>IF(Billetes_Brutos!E83="","No disponible",Billetes_Brutos!E83)</f>
        <v>No disponible</v>
      </c>
      <c r="F81" s="3" t="str">
        <f>Billetes_Brutos!F83</f>
        <v>Ocasional</v>
      </c>
      <c r="G81" s="3" t="str">
        <f>Billetes_Brutos!G83</f>
        <v>Cartagena</v>
      </c>
      <c r="H81" s="3" t="str">
        <f>Billetes_Brutos!H83</f>
        <v>Barranquilla</v>
      </c>
      <c r="I81" s="3" t="str">
        <f>Billetes_Brutos!I83</f>
        <v>15/01/2026</v>
      </c>
      <c r="J81" s="3" t="str">
        <f>Billetes_Brutos!O83</f>
        <v>Primera</v>
      </c>
      <c r="K81" s="3" t="str">
        <f>Billetes_Brutos!K83</f>
        <v>Anulado</v>
      </c>
      <c r="L81" s="4">
        <f>IF(Billetes_Brutos!L83="","Por confirmar",Billetes_Brutos!L83)</f>
        <v>68600</v>
      </c>
      <c r="M81" s="3" t="str">
        <f>Billetes_Brutos!M83</f>
        <v>05/03/2026</v>
      </c>
    </row>
    <row r="82" spans="1:13" ht="15" customHeight="1" x14ac:dyDescent="0.3">
      <c r="A82" s="3" t="str">
        <f>Billetes_Brutos!A84</f>
        <v>1093</v>
      </c>
      <c r="B82" s="3" t="str">
        <f>Billetes_Brutos!B84</f>
        <v>38</v>
      </c>
      <c r="C82" s="3" t="str">
        <f>Billetes_Brutos!C84</f>
        <v>Paula Ramirez</v>
      </c>
      <c r="D82" s="3" t="str">
        <f>IF(Billetes_Brutos!D84="","Sin correo",Billetes_Brutos!D84)</f>
        <v>paula.ramirez38@correo.co</v>
      </c>
      <c r="E82" s="3" t="str">
        <f>IF(Billetes_Brutos!E84="","No disponible",Billetes_Brutos!E84)</f>
        <v>No disponible</v>
      </c>
      <c r="F82" s="3" t="str">
        <f>Billetes_Brutos!F84</f>
        <v>Ocasional</v>
      </c>
      <c r="G82" s="3" t="str">
        <f>Billetes_Brutos!G84</f>
        <v>Cucuta</v>
      </c>
      <c r="H82" s="3" t="str">
        <f>Billetes_Brutos!H84</f>
        <v>Bogota Central</v>
      </c>
      <c r="I82" s="3" t="str">
        <f>Billetes_Brutos!I84</f>
        <v>02/01/2026</v>
      </c>
      <c r="J82" s="3" t="str">
        <f>Billetes_Brutos!O84</f>
        <v>Primera</v>
      </c>
      <c r="K82" s="3" t="str">
        <f>Billetes_Brutos!K84</f>
        <v>Pagado</v>
      </c>
      <c r="L82" s="4">
        <f>IF(Billetes_Brutos!L84="","Por confirmar",Billetes_Brutos!L84)</f>
        <v>82700</v>
      </c>
      <c r="M82" s="3" t="str">
        <f>Billetes_Brutos!M84</f>
        <v>05/01/2026</v>
      </c>
    </row>
    <row r="83" spans="1:13" ht="15" customHeight="1" x14ac:dyDescent="0.3">
      <c r="A83" s="3" t="str">
        <f>Billetes_Brutos!A85</f>
        <v>1005</v>
      </c>
      <c r="B83" s="3" t="str">
        <f>Billetes_Brutos!B85</f>
        <v>15</v>
      </c>
      <c r="C83" s="3" t="str">
        <f>Billetes_Brutos!C85</f>
        <v>Juan Gomez</v>
      </c>
      <c r="D83" s="3" t="str">
        <f>IF(Billetes_Brutos!D85="","Sin correo",Billetes_Brutos!D85)</f>
        <v>juan.gomez15@correo.co</v>
      </c>
      <c r="E83" s="3" t="str">
        <f>IF(Billetes_Brutos!E85="","No disponible",Billetes_Brutos!E85)</f>
        <v>No disponible</v>
      </c>
      <c r="F83" s="3" t="str">
        <f>Billetes_Brutos!F85</f>
        <v>Ocasional</v>
      </c>
      <c r="G83" s="3" t="str">
        <f>Billetes_Brutos!G85</f>
        <v>Pereira</v>
      </c>
      <c r="H83" s="3" t="str">
        <f>Billetes_Brutos!H85</f>
        <v>Cartagena</v>
      </c>
      <c r="I83" s="3" t="str">
        <f>Billetes_Brutos!I85</f>
        <v>17/01/2026</v>
      </c>
      <c r="J83" s="3" t="str">
        <f>Billetes_Brutos!O85</f>
        <v>Primera</v>
      </c>
      <c r="K83" s="3" t="str">
        <f>Billetes_Brutos!K85</f>
        <v>Reembolsado</v>
      </c>
      <c r="L83" s="4">
        <f>IF(Billetes_Brutos!L85="","Por confirmar",Billetes_Brutos!L85)</f>
        <v>242400</v>
      </c>
      <c r="M83" s="3" t="str">
        <f>Billetes_Brutos!M85</f>
        <v>25/12/2025</v>
      </c>
    </row>
    <row r="84" spans="1:13" ht="15" customHeight="1" x14ac:dyDescent="0.3">
      <c r="A84" s="3" t="str">
        <f>Billetes_Brutos!A86</f>
        <v>1037</v>
      </c>
      <c r="B84" s="3" t="str">
        <f>Billetes_Brutos!B86</f>
        <v>41</v>
      </c>
      <c r="C84" s="3" t="str">
        <f>Billetes_Brutos!C86</f>
        <v>Nicolas Ramirez</v>
      </c>
      <c r="D84" s="3" t="str">
        <f>IF(Billetes_Brutos!D86="","Sin correo",Billetes_Brutos!D86)</f>
        <v>nicolas.ramirez41@correo.co</v>
      </c>
      <c r="E84" s="3" t="str">
        <f>IF(Billetes_Brutos!E86="","No disponible",Billetes_Brutos!E86)</f>
        <v>18/06/1994</v>
      </c>
      <c r="F84" s="3" t="str">
        <f>Billetes_Brutos!F86</f>
        <v>Abonado</v>
      </c>
      <c r="G84" s="3" t="str">
        <f>Billetes_Brutos!G86</f>
        <v>Cartagena</v>
      </c>
      <c r="H84" s="3" t="str">
        <f>Billetes_Brutos!H86</f>
        <v>Barranquilla</v>
      </c>
      <c r="I84" s="3" t="str">
        <f>Billetes_Brutos!I86</f>
        <v>11/03/2026</v>
      </c>
      <c r="J84" s="3" t="str">
        <f>Billetes_Brutos!O86</f>
        <v>Primera</v>
      </c>
      <c r="K84" s="3" t="str">
        <f>Billetes_Brutos!K86</f>
        <v>Pagado</v>
      </c>
      <c r="L84" s="4">
        <f>IF(Billetes_Brutos!L86="","Por confirmar",Billetes_Brutos!L86)</f>
        <v>83100</v>
      </c>
      <c r="M84" s="3" t="str">
        <f>Billetes_Brutos!M86</f>
        <v>30/12/2025</v>
      </c>
    </row>
    <row r="85" spans="1:13" ht="15" customHeight="1" x14ac:dyDescent="0.3">
      <c r="A85" s="3" t="str">
        <f>Billetes_Brutos!A87</f>
        <v>1018</v>
      </c>
      <c r="B85" s="3" t="str">
        <f>Billetes_Brutos!B87</f>
        <v>13</v>
      </c>
      <c r="C85" s="3" t="str">
        <f>Billetes_Brutos!C87</f>
        <v>Sofia Hernandez</v>
      </c>
      <c r="D85" s="3" t="str">
        <f>IF(Billetes_Brutos!D87="","Sin correo",Billetes_Brutos!D87)</f>
        <v>sofia.hernandez13@correo.co</v>
      </c>
      <c r="E85" s="3" t="str">
        <f>IF(Billetes_Brutos!E87="","No disponible",Billetes_Brutos!E87)</f>
        <v>23/08/2003</v>
      </c>
      <c r="F85" s="3" t="str">
        <f>Billetes_Brutos!F87</f>
        <v>Abonado</v>
      </c>
      <c r="G85" s="3" t="str">
        <f>Billetes_Brutos!G87</f>
        <v>Bucaramanga</v>
      </c>
      <c r="H85" s="3" t="str">
        <f>Billetes_Brutos!H87</f>
        <v>Bogota Central</v>
      </c>
      <c r="I85" s="3" t="str">
        <f>Billetes_Brutos!I87</f>
        <v>13/01/2026</v>
      </c>
      <c r="J85" s="3" t="str">
        <f>Billetes_Brutos!O87</f>
        <v>Segunda</v>
      </c>
      <c r="K85" s="3" t="str">
        <f>Billetes_Brutos!K87</f>
        <v>Pagado</v>
      </c>
      <c r="L85" s="4">
        <f>IF(Billetes_Brutos!L87="","Por confirmar",Billetes_Brutos!L87)</f>
        <v>191100</v>
      </c>
      <c r="M85" s="3" t="str">
        <f>Billetes_Brutos!M87</f>
        <v>15/11/2025</v>
      </c>
    </row>
    <row r="86" spans="1:13" ht="15" customHeight="1" x14ac:dyDescent="0.3">
      <c r="A86" s="3" t="str">
        <f>Billetes_Brutos!A88</f>
        <v>1097</v>
      </c>
      <c r="B86" s="3" t="str">
        <f>Billetes_Brutos!B88</f>
        <v>22</v>
      </c>
      <c r="C86" s="3" t="str">
        <f>Billetes_Brutos!C88</f>
        <v>Maria Gonzalez</v>
      </c>
      <c r="D86" s="3" t="str">
        <f>IF(Billetes_Brutos!D88="","Sin correo",Billetes_Brutos!D88)</f>
        <v>maria.gonzalez22@correo.co</v>
      </c>
      <c r="E86" s="3" t="str">
        <f>IF(Billetes_Brutos!E88="","No disponible",Billetes_Brutos!E88)</f>
        <v>No disponible</v>
      </c>
      <c r="F86" s="3" t="str">
        <f>Billetes_Brutos!F88</f>
        <v>Abonado</v>
      </c>
      <c r="G86" s="3" t="str">
        <f>Billetes_Brutos!G88</f>
        <v>Santa Marta</v>
      </c>
      <c r="H86" s="3" t="str">
        <f>Billetes_Brutos!H88</f>
        <v>Cucuta</v>
      </c>
      <c r="I86" s="3" t="str">
        <f>Billetes_Brutos!I88</f>
        <v>19/02/2026</v>
      </c>
      <c r="J86" s="3" t="str">
        <f>Billetes_Brutos!O88</f>
        <v>Primera</v>
      </c>
      <c r="K86" s="3" t="str">
        <f>Billetes_Brutos!K88</f>
        <v>Pagado</v>
      </c>
      <c r="L86" s="4">
        <f>IF(Billetes_Brutos!L88="","Por confirmar",Billetes_Brutos!L88)</f>
        <v>222500</v>
      </c>
      <c r="M86" s="3" t="str">
        <f>Billetes_Brutos!M88</f>
        <v>08/12/2025</v>
      </c>
    </row>
    <row r="87" spans="1:13" ht="15" customHeight="1" x14ac:dyDescent="0.3">
      <c r="A87" s="3" t="str">
        <f>Billetes_Brutos!A89</f>
        <v>1050</v>
      </c>
      <c r="B87" s="3" t="str">
        <f>Billetes_Brutos!B89</f>
        <v>48</v>
      </c>
      <c r="C87" s="3" t="str">
        <f>Billetes_Brutos!C89</f>
        <v>Gabriela Martinez</v>
      </c>
      <c r="D87" s="3" t="str">
        <f>IF(Billetes_Brutos!D89="","Sin correo",Billetes_Brutos!D89)</f>
        <v>gabriela.martinez48@correo.co</v>
      </c>
      <c r="E87" s="3" t="str">
        <f>IF(Billetes_Brutos!E89="","No disponible",Billetes_Brutos!E89)</f>
        <v>22/10/1979</v>
      </c>
      <c r="F87" s="3" t="str">
        <f>Billetes_Brutos!F89</f>
        <v>Ocasional</v>
      </c>
      <c r="G87" s="3" t="str">
        <f>Billetes_Brutos!G89</f>
        <v>Medellin</v>
      </c>
      <c r="H87" s="3" t="str">
        <f>Billetes_Brutos!H89</f>
        <v>Barranquilla</v>
      </c>
      <c r="I87" s="3" t="str">
        <f>Billetes_Brutos!I89</f>
        <v>17/03/2026</v>
      </c>
      <c r="J87" s="3" t="str">
        <f>Billetes_Brutos!O89</f>
        <v>Primera</v>
      </c>
      <c r="K87" s="3" t="str">
        <f>Billetes_Brutos!K89</f>
        <v>Pagado</v>
      </c>
      <c r="L87" s="4">
        <f>IF(Billetes_Brutos!L89="","Por confirmar",Billetes_Brutos!L89)</f>
        <v>239700</v>
      </c>
      <c r="M87" s="3" t="str">
        <f>Billetes_Brutos!M89</f>
        <v>03/12/2025</v>
      </c>
    </row>
    <row r="88" spans="1:13" ht="15" customHeight="1" x14ac:dyDescent="0.3">
      <c r="A88" s="3" t="str">
        <f>Billetes_Brutos!A90</f>
        <v>1048</v>
      </c>
      <c r="B88" s="3" t="str">
        <f>Billetes_Brutos!B90</f>
        <v>6</v>
      </c>
      <c r="C88" s="3" t="str">
        <f>Billetes_Brutos!C90</f>
        <v>Maria Perez</v>
      </c>
      <c r="D88" s="3" t="str">
        <f>IF(Billetes_Brutos!D90="","Sin correo",Billetes_Brutos!D90)</f>
        <v>maria.perez6@correo.co</v>
      </c>
      <c r="E88" s="3" t="str">
        <f>IF(Billetes_Brutos!E90="","No disponible",Billetes_Brutos!E90)</f>
        <v>17/09/1997</v>
      </c>
      <c r="F88" s="3" t="str">
        <f>Billetes_Brutos!F90</f>
        <v>Ocasional</v>
      </c>
      <c r="G88" s="3" t="str">
        <f>Billetes_Brutos!G90</f>
        <v>Manizales</v>
      </c>
      <c r="H88" s="3" t="str">
        <f>Billetes_Brutos!H90</f>
        <v>Bogota Central</v>
      </c>
      <c r="I88" s="3" t="str">
        <f>Billetes_Brutos!I90</f>
        <v>24/01/2026</v>
      </c>
      <c r="J88" s="3" t="str">
        <f>Billetes_Brutos!O90</f>
        <v>Primera</v>
      </c>
      <c r="K88" s="3" t="str">
        <f>Billetes_Brutos!K90</f>
        <v>Pagado</v>
      </c>
      <c r="L88" s="4">
        <f>IF(Billetes_Brutos!L90="","Por confirmar",Billetes_Brutos!L90)</f>
        <v>129200</v>
      </c>
      <c r="M88" s="3" t="str">
        <f>Billetes_Brutos!M90</f>
        <v>29/03/2026</v>
      </c>
    </row>
    <row r="89" spans="1:13" ht="15" customHeight="1" x14ac:dyDescent="0.3">
      <c r="A89" s="3" t="str">
        <f>Billetes_Brutos!A91</f>
        <v>1126</v>
      </c>
      <c r="B89" s="3" t="str">
        <f>Billetes_Brutos!B91</f>
        <v>50</v>
      </c>
      <c r="C89" s="3" t="str">
        <f>Billetes_Brutos!C91</f>
        <v>Laura Torres</v>
      </c>
      <c r="D89" s="3" t="str">
        <f>IF(Billetes_Brutos!D91="","Sin correo",Billetes_Brutos!D91)</f>
        <v>Sin correo</v>
      </c>
      <c r="E89" s="3" t="str">
        <f>IF(Billetes_Brutos!E91="","No disponible",Billetes_Brutos!E91)</f>
        <v>27/08/1961</v>
      </c>
      <c r="F89" s="3" t="str">
        <f>Billetes_Brutos!F91</f>
        <v>Ocasional</v>
      </c>
      <c r="G89" s="3" t="str">
        <f>Billetes_Brutos!G91</f>
        <v>Manizales</v>
      </c>
      <c r="H89" s="3" t="str">
        <f>Billetes_Brutos!H91</f>
        <v>Santa Marta</v>
      </c>
      <c r="I89" s="3" t="str">
        <f>Billetes_Brutos!I91</f>
        <v>30/03/2026</v>
      </c>
      <c r="J89" s="3" t="str">
        <f>Billetes_Brutos!O91</f>
        <v>Primera</v>
      </c>
      <c r="K89" s="3" t="str">
        <f>Billetes_Brutos!K91</f>
        <v>Anulado</v>
      </c>
      <c r="L89" s="4">
        <f>IF(Billetes_Brutos!L91="","Por confirmar",Billetes_Brutos!L91)</f>
        <v>220900</v>
      </c>
      <c r="M89" s="3" t="str">
        <f>Billetes_Brutos!M91</f>
        <v>17/12/2025</v>
      </c>
    </row>
    <row r="90" spans="1:13" ht="15" customHeight="1" x14ac:dyDescent="0.3">
      <c r="A90" s="3" t="str">
        <f>Billetes_Brutos!A92</f>
        <v>1124</v>
      </c>
      <c r="B90" s="3" t="str">
        <f>Billetes_Brutos!B92</f>
        <v>44</v>
      </c>
      <c r="C90" s="3" t="str">
        <f>Billetes_Brutos!C92</f>
        <v>Juan Gonzalez</v>
      </c>
      <c r="D90" s="3" t="str">
        <f>IF(Billetes_Brutos!D92="","Sin correo",Billetes_Brutos!D92)</f>
        <v>juan.gonzalez44@correo.co</v>
      </c>
      <c r="E90" s="3" t="str">
        <f>IF(Billetes_Brutos!E92="","No disponible",Billetes_Brutos!E92)</f>
        <v>18/01/1981</v>
      </c>
      <c r="F90" s="3" t="str">
        <f>Billetes_Brutos!F92</f>
        <v>Ocasional</v>
      </c>
      <c r="G90" s="3" t="str">
        <f>Billetes_Brutos!G92</f>
        <v>Cali</v>
      </c>
      <c r="H90" s="3" t="str">
        <f>Billetes_Brutos!H92</f>
        <v>Cucuta</v>
      </c>
      <c r="I90" s="3" t="str">
        <f>Billetes_Brutos!I92</f>
        <v>03/04/2026</v>
      </c>
      <c r="J90" s="3" t="str">
        <f>Billetes_Brutos!O92</f>
        <v>Segunda</v>
      </c>
      <c r="K90" s="3" t="str">
        <f>Billetes_Brutos!K92</f>
        <v>Pagado</v>
      </c>
      <c r="L90" s="4">
        <f>IF(Billetes_Brutos!L92="","Por confirmar",Billetes_Brutos!L92)</f>
        <v>262800</v>
      </c>
      <c r="M90" s="3" t="str">
        <f>Billetes_Brutos!M92</f>
        <v>31/12/2025</v>
      </c>
    </row>
    <row r="91" spans="1:13" ht="15" customHeight="1" x14ac:dyDescent="0.3">
      <c r="A91" s="3" t="str">
        <f>Billetes_Brutos!A93</f>
        <v>1073</v>
      </c>
      <c r="B91" s="3" t="str">
        <f>Billetes_Brutos!B93</f>
        <v>32</v>
      </c>
      <c r="C91" s="3" t="str">
        <f>Billetes_Brutos!C93</f>
        <v>Sofia Hernandez</v>
      </c>
      <c r="D91" s="3" t="str">
        <f>IF(Billetes_Brutos!D93="","Sin correo",Billetes_Brutos!D93)</f>
        <v>sofia.hernandez32@correo.co</v>
      </c>
      <c r="E91" s="3" t="str">
        <f>IF(Billetes_Brutos!E93="","No disponible",Billetes_Brutos!E93)</f>
        <v>22/01/1972</v>
      </c>
      <c r="F91" s="3" t="str">
        <f>Billetes_Brutos!F93</f>
        <v>Ocasional</v>
      </c>
      <c r="G91" s="3" t="str">
        <f>Billetes_Brutos!G93</f>
        <v>Cali</v>
      </c>
      <c r="H91" s="3" t="str">
        <f>Billetes_Brutos!H93</f>
        <v>Medellin</v>
      </c>
      <c r="I91" s="3" t="str">
        <f>Billetes_Brutos!I93</f>
        <v>10/06/2026</v>
      </c>
      <c r="J91" s="3" t="str">
        <f>Billetes_Brutos!O93</f>
        <v>Segunda</v>
      </c>
      <c r="K91" s="3" t="str">
        <f>Billetes_Brutos!K93</f>
        <v>Pagado</v>
      </c>
      <c r="L91" s="4">
        <f>IF(Billetes_Brutos!L93="","Por confirmar",Billetes_Brutos!L93)</f>
        <v>54200</v>
      </c>
      <c r="M91" s="3" t="str">
        <f>Billetes_Brutos!M93</f>
        <v>02/02/2026</v>
      </c>
    </row>
    <row r="92" spans="1:13" ht="15" customHeight="1" x14ac:dyDescent="0.3">
      <c r="A92" s="3" t="str">
        <f>Billetes_Brutos!A94</f>
        <v>1137</v>
      </c>
      <c r="B92" s="3" t="str">
        <f>Billetes_Brutos!B94</f>
        <v>9</v>
      </c>
      <c r="C92" s="3" t="str">
        <f>Billetes_Brutos!C94</f>
        <v>Juan Sanchez</v>
      </c>
      <c r="D92" s="3" t="str">
        <f>IF(Billetes_Brutos!D94="","Sin correo",Billetes_Brutos!D94)</f>
        <v>juan.sanchez9@correo.co</v>
      </c>
      <c r="E92" s="3" t="str">
        <f>IF(Billetes_Brutos!E94="","No disponible",Billetes_Brutos!E94)</f>
        <v>01/04/2001</v>
      </c>
      <c r="F92" s="3" t="str">
        <f>Billetes_Brutos!F94</f>
        <v>Abonado</v>
      </c>
      <c r="G92" s="3" t="str">
        <f>Billetes_Brutos!G94</f>
        <v>Bucaramanga</v>
      </c>
      <c r="H92" s="3" t="str">
        <f>Billetes_Brutos!H94</f>
        <v>Cucuta</v>
      </c>
      <c r="I92" s="3" t="str">
        <f>Billetes_Brutos!I94</f>
        <v>11/02/2026</v>
      </c>
      <c r="J92" s="3" t="str">
        <f>Billetes_Brutos!O94</f>
        <v>Segunda</v>
      </c>
      <c r="K92" s="3" t="str">
        <f>Billetes_Brutos!K94</f>
        <v>Reembolsado</v>
      </c>
      <c r="L92" s="4">
        <f>IF(Billetes_Brutos!L94="","Por confirmar",Billetes_Brutos!L94)</f>
        <v>127300</v>
      </c>
      <c r="M92" s="3" t="str">
        <f>Billetes_Brutos!M94</f>
        <v>26/01/2026</v>
      </c>
    </row>
    <row r="93" spans="1:13" ht="15" customHeight="1" x14ac:dyDescent="0.3">
      <c r="A93" s="3" t="str">
        <f>Billetes_Brutos!A95</f>
        <v>1062</v>
      </c>
      <c r="B93" s="3" t="str">
        <f>Billetes_Brutos!B95</f>
        <v>1</v>
      </c>
      <c r="C93" s="3" t="str">
        <f>Billetes_Brutos!C95</f>
        <v>Gabriela Perez</v>
      </c>
      <c r="D93" s="3" t="str">
        <f>IF(Billetes_Brutos!D95="","Sin correo",Billetes_Brutos!D95)</f>
        <v>Sin correo</v>
      </c>
      <c r="E93" s="3" t="str">
        <f>IF(Billetes_Brutos!E95="","No disponible",Billetes_Brutos!E95)</f>
        <v>06/03/1965</v>
      </c>
      <c r="F93" s="3" t="str">
        <f>Billetes_Brutos!F95</f>
        <v>Ocasional</v>
      </c>
      <c r="G93" s="3" t="str">
        <f>Billetes_Brutos!G95</f>
        <v>Medellin</v>
      </c>
      <c r="H93" s="3" t="str">
        <f>Billetes_Brutos!H95</f>
        <v>Cali</v>
      </c>
      <c r="I93" s="3" t="str">
        <f>Billetes_Brutos!I95</f>
        <v>08/05/2026</v>
      </c>
      <c r="J93" s="3" t="str">
        <f>Billetes_Brutos!O95</f>
        <v>Segunda</v>
      </c>
      <c r="K93" s="3" t="str">
        <f>Billetes_Brutos!K95</f>
        <v>Pagado</v>
      </c>
      <c r="L93" s="4">
        <f>IF(Billetes_Brutos!L95="","Por confirmar",Billetes_Brutos!L95)</f>
        <v>159300</v>
      </c>
      <c r="M93" s="3" t="str">
        <f>Billetes_Brutos!M95</f>
        <v>04/03/2026</v>
      </c>
    </row>
    <row r="94" spans="1:13" ht="15" customHeight="1" x14ac:dyDescent="0.3">
      <c r="A94" s="3" t="str">
        <f>Billetes_Brutos!A96</f>
        <v>1135</v>
      </c>
      <c r="B94" s="3" t="str">
        <f>Billetes_Brutos!B96</f>
        <v>24</v>
      </c>
      <c r="C94" s="3" t="str">
        <f>Billetes_Brutos!C96</f>
        <v>Valentina Perez</v>
      </c>
      <c r="D94" s="3" t="str">
        <f>IF(Billetes_Brutos!D96="","Sin correo",Billetes_Brutos!D96)</f>
        <v>Sin correo</v>
      </c>
      <c r="E94" s="3" t="str">
        <f>IF(Billetes_Brutos!E96="","No disponible",Billetes_Brutos!E96)</f>
        <v>11/07/1987</v>
      </c>
      <c r="F94" s="3" t="str">
        <f>Billetes_Brutos!F96</f>
        <v>Ocasional</v>
      </c>
      <c r="G94" s="3" t="str">
        <f>Billetes_Brutos!G96</f>
        <v>Medellin</v>
      </c>
      <c r="H94" s="3" t="str">
        <f>Billetes_Brutos!H96</f>
        <v>Pereira</v>
      </c>
      <c r="I94" s="3" t="str">
        <f>Billetes_Brutos!I96</f>
        <v>10/05/2026</v>
      </c>
      <c r="J94" s="3" t="str">
        <f>Billetes_Brutos!O96</f>
        <v>Segunda</v>
      </c>
      <c r="K94" s="3" t="str">
        <f>Billetes_Brutos!K96</f>
        <v>Anulado</v>
      </c>
      <c r="L94" s="4">
        <f>IF(Billetes_Brutos!L96="","Por confirmar",Billetes_Brutos!L96)</f>
        <v>317000</v>
      </c>
      <c r="M94" s="3" t="str">
        <f>Billetes_Brutos!M96</f>
        <v>24/04/2026</v>
      </c>
    </row>
    <row r="95" spans="1:13" ht="15" customHeight="1" x14ac:dyDescent="0.3">
      <c r="A95" s="3" t="str">
        <f>Billetes_Brutos!A97</f>
        <v>1121</v>
      </c>
      <c r="B95" s="3" t="str">
        <f>Billetes_Brutos!B97</f>
        <v>44</v>
      </c>
      <c r="C95" s="3" t="str">
        <f>Billetes_Brutos!C97</f>
        <v>Julian Gomez</v>
      </c>
      <c r="D95" s="3" t="str">
        <f>IF(Billetes_Brutos!D97="","Sin correo",Billetes_Brutos!D97)</f>
        <v>julian.gomez44@correo.co</v>
      </c>
      <c r="E95" s="3" t="str">
        <f>IF(Billetes_Brutos!E97="","No disponible",Billetes_Brutos!E97)</f>
        <v>12/11/1987</v>
      </c>
      <c r="F95" s="3" t="str">
        <f>Billetes_Brutos!F97</f>
        <v>Ocasional</v>
      </c>
      <c r="G95" s="3" t="str">
        <f>Billetes_Brutos!G97</f>
        <v>Pereira</v>
      </c>
      <c r="H95" s="3" t="str">
        <f>Billetes_Brutos!H97</f>
        <v>Bogota Central</v>
      </c>
      <c r="I95" s="3" t="str">
        <f>Billetes_Brutos!I97</f>
        <v>04/06/2026</v>
      </c>
      <c r="J95" s="3" t="str">
        <f>Billetes_Brutos!O97</f>
        <v>Primera</v>
      </c>
      <c r="K95" s="3" t="str">
        <f>Billetes_Brutos!K97</f>
        <v>Pagado</v>
      </c>
      <c r="L95" s="4">
        <f>IF(Billetes_Brutos!L97="","Por confirmar",Billetes_Brutos!L97)</f>
        <v>147300</v>
      </c>
      <c r="M95" s="3" t="str">
        <f>Billetes_Brutos!M97</f>
        <v>15/05/2026</v>
      </c>
    </row>
    <row r="96" spans="1:13" ht="15" customHeight="1" x14ac:dyDescent="0.3">
      <c r="A96" s="3" t="str">
        <f>Billetes_Brutos!A98</f>
        <v>1110</v>
      </c>
      <c r="B96" s="3" t="str">
        <f>Billetes_Brutos!B98</f>
        <v>54</v>
      </c>
      <c r="C96" s="3" t="str">
        <f>Billetes_Brutos!C98</f>
        <v>Laura Rodriguez</v>
      </c>
      <c r="D96" s="3" t="str">
        <f>IF(Billetes_Brutos!D98="","Sin correo",Billetes_Brutos!D98)</f>
        <v>laura.rodriguez54@correo.co</v>
      </c>
      <c r="E96" s="3" t="str">
        <f>IF(Billetes_Brutos!E98="","No disponible",Billetes_Brutos!E98)</f>
        <v>22/06/1995</v>
      </c>
      <c r="F96" s="3" t="str">
        <f>Billetes_Brutos!F98</f>
        <v>Ocasional</v>
      </c>
      <c r="G96" s="3" t="str">
        <f>Billetes_Brutos!G98</f>
        <v>Bogota Central</v>
      </c>
      <c r="H96" s="3" t="str">
        <f>Billetes_Brutos!H98</f>
        <v>Pereira</v>
      </c>
      <c r="I96" s="3" t="str">
        <f>Billetes_Brutos!I98</f>
        <v>14/01/2026</v>
      </c>
      <c r="J96" s="3" t="str">
        <f>Billetes_Brutos!O98</f>
        <v>Segunda</v>
      </c>
      <c r="K96" s="3" t="str">
        <f>Billetes_Brutos!K98</f>
        <v>Pagado</v>
      </c>
      <c r="L96" s="4">
        <f>IF(Billetes_Brutos!L98="","Por confirmar",Billetes_Brutos!L98)</f>
        <v>318500</v>
      </c>
      <c r="M96" s="3" t="str">
        <f>Billetes_Brutos!M98</f>
        <v>04/02/2026</v>
      </c>
    </row>
    <row r="97" spans="1:13" ht="15" customHeight="1" x14ac:dyDescent="0.3">
      <c r="A97" s="3" t="str">
        <f>Billetes_Brutos!A99</f>
        <v>1129</v>
      </c>
      <c r="B97" s="3" t="str">
        <f>Billetes_Brutos!B99</f>
        <v>10</v>
      </c>
      <c r="C97" s="3" t="str">
        <f>Billetes_Brutos!C99</f>
        <v>Camila Torres</v>
      </c>
      <c r="D97" s="3" t="str">
        <f>IF(Billetes_Brutos!D99="","Sin correo",Billetes_Brutos!D99)</f>
        <v>camila.torres10@correo.co</v>
      </c>
      <c r="E97" s="3" t="str">
        <f>IF(Billetes_Brutos!E99="","No disponible",Billetes_Brutos!E99)</f>
        <v>25/07/2005</v>
      </c>
      <c r="F97" s="3" t="str">
        <f>Billetes_Brutos!F99</f>
        <v>Abonado</v>
      </c>
      <c r="G97" s="3" t="str">
        <f>Billetes_Brutos!G99</f>
        <v>Bogota Central</v>
      </c>
      <c r="H97" s="3" t="str">
        <f>Billetes_Brutos!H99</f>
        <v>Medellin</v>
      </c>
      <c r="I97" s="3" t="str">
        <f>Billetes_Brutos!I99</f>
        <v>12/01/2026</v>
      </c>
      <c r="J97" s="3" t="str">
        <f>Billetes_Brutos!O99</f>
        <v>Segunda</v>
      </c>
      <c r="K97" s="3" t="str">
        <f>Billetes_Brutos!K99</f>
        <v>Anulado</v>
      </c>
      <c r="L97" s="4">
        <f>IF(Billetes_Brutos!L99="","Por confirmar",Billetes_Brutos!L99)</f>
        <v>103000</v>
      </c>
      <c r="M97" s="3" t="str">
        <f>Billetes_Brutos!M99</f>
        <v>27/03/2026</v>
      </c>
    </row>
    <row r="98" spans="1:13" ht="15" customHeight="1" x14ac:dyDescent="0.3">
      <c r="A98" s="3" t="str">
        <f>Billetes_Brutos!A100</f>
        <v>1114</v>
      </c>
      <c r="B98" s="3" t="str">
        <f>Billetes_Brutos!B100</f>
        <v>12</v>
      </c>
      <c r="C98" s="3" t="str">
        <f>Billetes_Brutos!C100</f>
        <v>Mateo Ramirez</v>
      </c>
      <c r="D98" s="3" t="str">
        <f>IF(Billetes_Brutos!D100="","Sin correo",Billetes_Brutos!D100)</f>
        <v>mateo.ramirez12@correo.co</v>
      </c>
      <c r="E98" s="3" t="str">
        <f>IF(Billetes_Brutos!E100="","No disponible",Billetes_Brutos!E100)</f>
        <v>No disponible</v>
      </c>
      <c r="F98" s="3" t="str">
        <f>Billetes_Brutos!F100</f>
        <v>Abonado</v>
      </c>
      <c r="G98" s="3" t="str">
        <f>Billetes_Brutos!G100</f>
        <v>Pereira</v>
      </c>
      <c r="H98" s="3" t="str">
        <f>Billetes_Brutos!H100</f>
        <v>Manizales</v>
      </c>
      <c r="I98" s="3" t="str">
        <f>Billetes_Brutos!I100</f>
        <v>12/01/2026</v>
      </c>
      <c r="J98" s="3" t="str">
        <f>Billetes_Brutos!O100</f>
        <v>Segunda</v>
      </c>
      <c r="K98" s="3" t="str">
        <f>Billetes_Brutos!K100</f>
        <v>Pagado</v>
      </c>
      <c r="L98" s="4">
        <f>IF(Billetes_Brutos!L100="","Por confirmar",Billetes_Brutos!L100)</f>
        <v>250500</v>
      </c>
      <c r="M98" s="3" t="str">
        <f>Billetes_Brutos!M100</f>
        <v>31/01/2026</v>
      </c>
    </row>
    <row r="99" spans="1:13" ht="15" customHeight="1" x14ac:dyDescent="0.3">
      <c r="A99" s="3" t="str">
        <f>Billetes_Brutos!A101</f>
        <v>1040</v>
      </c>
      <c r="B99" s="3" t="str">
        <f>Billetes_Brutos!B101</f>
        <v>2</v>
      </c>
      <c r="C99" s="3" t="str">
        <f>Billetes_Brutos!C101</f>
        <v>Andres Gonzalez</v>
      </c>
      <c r="D99" s="3" t="str">
        <f>IF(Billetes_Brutos!D101="","Sin correo",Billetes_Brutos!D101)</f>
        <v>andres.gonzalez2@correo.co</v>
      </c>
      <c r="E99" s="3" t="str">
        <f>IF(Billetes_Brutos!E101="","No disponible",Billetes_Brutos!E101)</f>
        <v>22/10/1969</v>
      </c>
      <c r="F99" s="3" t="str">
        <f>Billetes_Brutos!F101</f>
        <v>Ocasional</v>
      </c>
      <c r="G99" s="3" t="str">
        <f>Billetes_Brutos!G101</f>
        <v>Cali</v>
      </c>
      <c r="H99" s="3" t="str">
        <f>Billetes_Brutos!H101</f>
        <v>Santa Marta</v>
      </c>
      <c r="I99" s="3" t="str">
        <f>Billetes_Brutos!I101</f>
        <v>07/01/2026</v>
      </c>
      <c r="J99" s="3" t="str">
        <f>Billetes_Brutos!O101</f>
        <v>Segunda</v>
      </c>
      <c r="K99" s="3" t="str">
        <f>Billetes_Brutos!K101</f>
        <v>Pagado</v>
      </c>
      <c r="L99" s="4">
        <f>IF(Billetes_Brutos!L101="","Por confirmar",Billetes_Brutos!L101)</f>
        <v>68100</v>
      </c>
      <c r="M99" s="3" t="str">
        <f>Billetes_Brutos!M101</f>
        <v>18/02/2026</v>
      </c>
    </row>
    <row r="100" spans="1:13" ht="15" customHeight="1" x14ac:dyDescent="0.3">
      <c r="A100" s="3" t="str">
        <f>Billetes_Brutos!A103</f>
        <v>1104</v>
      </c>
      <c r="B100" s="3" t="str">
        <f>Billetes_Brutos!B103</f>
        <v>39</v>
      </c>
      <c r="C100" s="3" t="str">
        <f>Billetes_Brutos!C103</f>
        <v>Samuel Gonzalez</v>
      </c>
      <c r="D100" s="3" t="str">
        <f>IF(Billetes_Brutos!D103="","Sin correo",Billetes_Brutos!D103)</f>
        <v>Sin correo</v>
      </c>
      <c r="E100" s="3" t="str">
        <f>IF(Billetes_Brutos!E103="","No disponible",Billetes_Brutos!E103)</f>
        <v>20/05/1986</v>
      </c>
      <c r="F100" s="3" t="str">
        <f>Billetes_Brutos!F103</f>
        <v>Ocasional</v>
      </c>
      <c r="G100" s="3" t="str">
        <f>Billetes_Brutos!G103</f>
        <v>Pereira</v>
      </c>
      <c r="H100" s="3" t="str">
        <f>Billetes_Brutos!H103</f>
        <v>Cali</v>
      </c>
      <c r="I100" s="3" t="str">
        <f>Billetes_Brutos!I103</f>
        <v>02/06/2026</v>
      </c>
      <c r="J100" s="3" t="str">
        <f>Billetes_Brutos!O103</f>
        <v>Segunda</v>
      </c>
      <c r="K100" s="3" t="str">
        <f>Billetes_Brutos!K103</f>
        <v>Reembolsado</v>
      </c>
      <c r="L100" s="4">
        <f>IF(Billetes_Brutos!L103="","Por confirmar",Billetes_Brutos!L103)</f>
        <v>148600</v>
      </c>
      <c r="M100" s="3" t="str">
        <f>Billetes_Brutos!M103</f>
        <v>22/05/2026</v>
      </c>
    </row>
    <row r="101" spans="1:13" ht="15" customHeight="1" x14ac:dyDescent="0.3">
      <c r="A101" s="3" t="str">
        <f>Billetes_Brutos!A104</f>
        <v>1139</v>
      </c>
      <c r="B101" s="3" t="str">
        <f>Billetes_Brutos!B104</f>
        <v>56</v>
      </c>
      <c r="C101" s="3" t="str">
        <f>Billetes_Brutos!C104</f>
        <v>Santiago Torres</v>
      </c>
      <c r="D101" s="3" t="str">
        <f>IF(Billetes_Brutos!D104="","Sin correo",Billetes_Brutos!D104)</f>
        <v>santiago.torres56@correo.co</v>
      </c>
      <c r="E101" s="3" t="str">
        <f>IF(Billetes_Brutos!E104="","No disponible",Billetes_Brutos!E104)</f>
        <v>01/06/1975</v>
      </c>
      <c r="F101" s="3" t="str">
        <f>Billetes_Brutos!F104</f>
        <v>Abonado</v>
      </c>
      <c r="G101" s="3" t="str">
        <f>Billetes_Brutos!G104</f>
        <v>Cucuta</v>
      </c>
      <c r="H101" s="3" t="str">
        <f>Billetes_Brutos!H104</f>
        <v>Manizales</v>
      </c>
      <c r="I101" s="3" t="str">
        <f>Billetes_Brutos!I104</f>
        <v>13/02/2026</v>
      </c>
      <c r="J101" s="3" t="str">
        <f>Billetes_Brutos!O104</f>
        <v>Segunda</v>
      </c>
      <c r="K101" s="3" t="str">
        <f>Billetes_Brutos!K104</f>
        <v>Pagado</v>
      </c>
      <c r="L101" s="4">
        <f>IF(Billetes_Brutos!L104="","Por confirmar",Billetes_Brutos!L104)</f>
        <v>276300</v>
      </c>
      <c r="M101" s="3" t="str">
        <f>Billetes_Brutos!M104</f>
        <v>08/12/2025</v>
      </c>
    </row>
    <row r="102" spans="1:13" ht="15" customHeight="1" x14ac:dyDescent="0.3">
      <c r="A102" s="3" t="str">
        <f>Billetes_Brutos!A105</f>
        <v>1026</v>
      </c>
      <c r="B102" s="3" t="str">
        <f>Billetes_Brutos!B105</f>
        <v>58</v>
      </c>
      <c r="C102" s="3" t="str">
        <f>Billetes_Brutos!C105</f>
        <v>Daniela Hernandez</v>
      </c>
      <c r="D102" s="3" t="str">
        <f>IF(Billetes_Brutos!D105="","Sin correo",Billetes_Brutos!D105)</f>
        <v>daniela.hernandez58@correo.co</v>
      </c>
      <c r="E102" s="3" t="str">
        <f>IF(Billetes_Brutos!E105="","No disponible",Billetes_Brutos!E105)</f>
        <v>24/09/1986</v>
      </c>
      <c r="F102" s="3" t="str">
        <f>Billetes_Brutos!F105</f>
        <v>Ocasional</v>
      </c>
      <c r="G102" s="3" t="str">
        <f>Billetes_Brutos!G105</f>
        <v>Cucuta</v>
      </c>
      <c r="H102" s="3" t="str">
        <f>Billetes_Brutos!H105</f>
        <v>Cali</v>
      </c>
      <c r="I102" s="3" t="str">
        <f>Billetes_Brutos!I105</f>
        <v>02/03/2026</v>
      </c>
      <c r="J102" s="3" t="str">
        <f>Billetes_Brutos!O105</f>
        <v>Primera</v>
      </c>
      <c r="K102" s="3" t="str">
        <f>Billetes_Brutos!K105</f>
        <v>Reembolsado</v>
      </c>
      <c r="L102" s="4">
        <f>IF(Billetes_Brutos!L105="","Por confirmar",Billetes_Brutos!L105)</f>
        <v>287400</v>
      </c>
      <c r="M102" s="3" t="str">
        <f>Billetes_Brutos!M105</f>
        <v>07/11/2025</v>
      </c>
    </row>
    <row r="103" spans="1:13" ht="15" customHeight="1" x14ac:dyDescent="0.3">
      <c r="A103" s="3" t="str">
        <f>Billetes_Brutos!A106</f>
        <v>1090</v>
      </c>
      <c r="B103" s="3" t="str">
        <f>Billetes_Brutos!B106</f>
        <v>54</v>
      </c>
      <c r="C103" s="3" t="str">
        <f>Billetes_Brutos!C106</f>
        <v>Nicolas Gomez</v>
      </c>
      <c r="D103" s="3" t="str">
        <f>IF(Billetes_Brutos!D106="","Sin correo",Billetes_Brutos!D106)</f>
        <v>nicolas.gomez54@correo.co</v>
      </c>
      <c r="E103" s="3" t="str">
        <f>IF(Billetes_Brutos!E106="","No disponible",Billetes_Brutos!E106)</f>
        <v>20/09/1982</v>
      </c>
      <c r="F103" s="3" t="str">
        <f>Billetes_Brutos!F106</f>
        <v>Ocasional</v>
      </c>
      <c r="G103" s="3" t="str">
        <f>Billetes_Brutos!G106</f>
        <v>Bucaramanga</v>
      </c>
      <c r="H103" s="3" t="str">
        <f>Billetes_Brutos!H106</f>
        <v>Bogota Central</v>
      </c>
      <c r="I103" s="3" t="str">
        <f>Billetes_Brutos!I106</f>
        <v>16/02/2026</v>
      </c>
      <c r="J103" s="3" t="str">
        <f>Billetes_Brutos!O106</f>
        <v>Primera</v>
      </c>
      <c r="K103" s="3" t="str">
        <f>Billetes_Brutos!K106</f>
        <v>Pagado</v>
      </c>
      <c r="L103" s="4">
        <f>IF(Billetes_Brutos!L106="","Por confirmar",Billetes_Brutos!L106)</f>
        <v>84000</v>
      </c>
      <c r="M103" s="3" t="str">
        <f>Billetes_Brutos!M106</f>
        <v>12/04/2026</v>
      </c>
    </row>
    <row r="104" spans="1:13" ht="15" customHeight="1" x14ac:dyDescent="0.3">
      <c r="A104" s="3" t="str">
        <f>Billetes_Brutos!A107</f>
        <v>1036</v>
      </c>
      <c r="B104" s="3" t="str">
        <f>Billetes_Brutos!B107</f>
        <v>39</v>
      </c>
      <c r="C104" s="3" t="str">
        <f>Billetes_Brutos!C107</f>
        <v>Juan Sanchez</v>
      </c>
      <c r="D104" s="3" t="str">
        <f>IF(Billetes_Brutos!D107="","Sin correo",Billetes_Brutos!D107)</f>
        <v>juan.sanchez39@correo.co</v>
      </c>
      <c r="E104" s="3" t="str">
        <f>IF(Billetes_Brutos!E107="","No disponible",Billetes_Brutos!E107)</f>
        <v>14/04/2000</v>
      </c>
      <c r="F104" s="3" t="str">
        <f>Billetes_Brutos!F107</f>
        <v>Ocasional</v>
      </c>
      <c r="G104" s="3" t="str">
        <f>Billetes_Brutos!G107</f>
        <v>Santa Marta</v>
      </c>
      <c r="H104" s="3" t="str">
        <f>Billetes_Brutos!H107</f>
        <v>Manizales</v>
      </c>
      <c r="I104" s="3" t="str">
        <f>Billetes_Brutos!I107</f>
        <v>10/02/2026</v>
      </c>
      <c r="J104" s="3" t="str">
        <f>Billetes_Brutos!O107</f>
        <v>Segunda</v>
      </c>
      <c r="K104" s="3" t="str">
        <f>Billetes_Brutos!K107</f>
        <v>Anulado</v>
      </c>
      <c r="L104" s="4">
        <f>IF(Billetes_Brutos!L107="","Por confirmar",Billetes_Brutos!L107)</f>
        <v>251700</v>
      </c>
      <c r="M104" s="3" t="str">
        <f>Billetes_Brutos!M107</f>
        <v>04/06/2026</v>
      </c>
    </row>
    <row r="105" spans="1:13" ht="15" customHeight="1" x14ac:dyDescent="0.3">
      <c r="A105" s="3" t="str">
        <f>Billetes_Brutos!A108</f>
        <v>1123</v>
      </c>
      <c r="B105" s="3" t="str">
        <f>Billetes_Brutos!B108</f>
        <v>17</v>
      </c>
      <c r="C105" s="3" t="str">
        <f>Billetes_Brutos!C108</f>
        <v>Julian Hernandez</v>
      </c>
      <c r="D105" s="3" t="str">
        <f>IF(Billetes_Brutos!D108="","Sin correo",Billetes_Brutos!D108)</f>
        <v>julian.hernandez17@correo.co</v>
      </c>
      <c r="E105" s="3" t="str">
        <f>IF(Billetes_Brutos!E108="","No disponible",Billetes_Brutos!E108)</f>
        <v>25/01/1999</v>
      </c>
      <c r="F105" s="3" t="str">
        <f>Billetes_Brutos!F108</f>
        <v>Abonado</v>
      </c>
      <c r="G105" s="3" t="str">
        <f>Billetes_Brutos!G108</f>
        <v>Medellin</v>
      </c>
      <c r="H105" s="3" t="str">
        <f>Billetes_Brutos!H108</f>
        <v>Cali</v>
      </c>
      <c r="I105" s="3" t="str">
        <f>Billetes_Brutos!I108</f>
        <v>19/01/2026</v>
      </c>
      <c r="J105" s="3" t="str">
        <f>Billetes_Brutos!O108</f>
        <v>Segunda</v>
      </c>
      <c r="K105" s="3" t="str">
        <f>Billetes_Brutos!K108</f>
        <v>Pagado</v>
      </c>
      <c r="L105" s="4">
        <f>IF(Billetes_Brutos!L108="","Por confirmar",Billetes_Brutos!L108)</f>
        <v>319200</v>
      </c>
      <c r="M105" s="3" t="str">
        <f>Billetes_Brutos!M108</f>
        <v>27/05/2026</v>
      </c>
    </row>
    <row r="106" spans="1:13" ht="15" customHeight="1" x14ac:dyDescent="0.3">
      <c r="A106" s="3" t="str">
        <f>Billetes_Brutos!A109</f>
        <v>1109</v>
      </c>
      <c r="B106" s="3" t="str">
        <f>Billetes_Brutos!B109</f>
        <v>9</v>
      </c>
      <c r="C106" s="3" t="str">
        <f>Billetes_Brutos!C109</f>
        <v>Nicolas Gomez</v>
      </c>
      <c r="D106" s="3" t="str">
        <f>IF(Billetes_Brutos!D109="","Sin correo",Billetes_Brutos!D109)</f>
        <v>nicolas.gomez9@correo.co</v>
      </c>
      <c r="E106" s="3" t="str">
        <f>IF(Billetes_Brutos!E109="","No disponible",Billetes_Brutos!E109)</f>
        <v>01/10/2004</v>
      </c>
      <c r="F106" s="3" t="str">
        <f>Billetes_Brutos!F109</f>
        <v>Abonado</v>
      </c>
      <c r="G106" s="3" t="str">
        <f>Billetes_Brutos!G109</f>
        <v>Santa Marta</v>
      </c>
      <c r="H106" s="3" t="str">
        <f>Billetes_Brutos!H109</f>
        <v>Medellin</v>
      </c>
      <c r="I106" s="3" t="str">
        <f>Billetes_Brutos!I109</f>
        <v>14/03/2026</v>
      </c>
      <c r="J106" s="3" t="str">
        <f>Billetes_Brutos!O109</f>
        <v>Primera</v>
      </c>
      <c r="K106" s="3" t="str">
        <f>Billetes_Brutos!K109</f>
        <v>Anulado</v>
      </c>
      <c r="L106" s="4">
        <f>IF(Billetes_Brutos!L109="","Por confirmar",Billetes_Brutos!L109)</f>
        <v>294000</v>
      </c>
      <c r="M106" s="3" t="str">
        <f>Billetes_Brutos!M109</f>
        <v>08/12/2025</v>
      </c>
    </row>
    <row r="107" spans="1:13" ht="15" customHeight="1" x14ac:dyDescent="0.3">
      <c r="A107" s="3" t="str">
        <f>Billetes_Brutos!A110</f>
        <v>1028</v>
      </c>
      <c r="B107" s="3" t="str">
        <f>Billetes_Brutos!B110</f>
        <v>23</v>
      </c>
      <c r="C107" s="3" t="str">
        <f>Billetes_Brutos!C110</f>
        <v>Sofia Hernandez</v>
      </c>
      <c r="D107" s="3" t="str">
        <f>IF(Billetes_Brutos!D110="","Sin correo",Billetes_Brutos!D110)</f>
        <v>sofia.hernandez23@correo.co</v>
      </c>
      <c r="E107" s="3" t="str">
        <f>IF(Billetes_Brutos!E110="","No disponible",Billetes_Brutos!E110)</f>
        <v>30/09/1990</v>
      </c>
      <c r="F107" s="3" t="str">
        <f>Billetes_Brutos!F110</f>
        <v>Ocasional</v>
      </c>
      <c r="G107" s="3" t="str">
        <f>Billetes_Brutos!G110</f>
        <v>Cartagena</v>
      </c>
      <c r="H107" s="3" t="str">
        <f>Billetes_Brutos!H110</f>
        <v>Medellin</v>
      </c>
      <c r="I107" s="3" t="str">
        <f>Billetes_Brutos!I110</f>
        <v>13/03/2026</v>
      </c>
      <c r="J107" s="3" t="str">
        <f>Billetes_Brutos!O110</f>
        <v>Primera</v>
      </c>
      <c r="K107" s="3" t="str">
        <f>Billetes_Brutos!K110</f>
        <v>Pagado</v>
      </c>
      <c r="L107" s="4">
        <f>IF(Billetes_Brutos!L110="","Por confirmar",Billetes_Brutos!L110)</f>
        <v>314800</v>
      </c>
      <c r="M107" s="3" t="str">
        <f>Billetes_Brutos!M110</f>
        <v>18/03/2026</v>
      </c>
    </row>
    <row r="108" spans="1:13" ht="15" customHeight="1" x14ac:dyDescent="0.3">
      <c r="A108" s="3" t="str">
        <f>Billetes_Brutos!A112</f>
        <v>1071</v>
      </c>
      <c r="B108" s="3" t="str">
        <f>Billetes_Brutos!B112</f>
        <v>44</v>
      </c>
      <c r="C108" s="3" t="str">
        <f>Billetes_Brutos!C112</f>
        <v>Gabriela Martinez</v>
      </c>
      <c r="D108" s="3" t="str">
        <f>IF(Billetes_Brutos!D112="","Sin correo",Billetes_Brutos!D112)</f>
        <v>Sin correo</v>
      </c>
      <c r="E108" s="3" t="str">
        <f>IF(Billetes_Brutos!E112="","No disponible",Billetes_Brutos!E112)</f>
        <v>02/11/1981</v>
      </c>
      <c r="F108" s="3" t="str">
        <f>Billetes_Brutos!F112</f>
        <v>Ocasional</v>
      </c>
      <c r="G108" s="3" t="str">
        <f>Billetes_Brutos!G112</f>
        <v>Cartagena</v>
      </c>
      <c r="H108" s="3" t="str">
        <f>Billetes_Brutos!H112</f>
        <v>Manizales</v>
      </c>
      <c r="I108" s="3" t="str">
        <f>Billetes_Brutos!I112</f>
        <v>19/03/2026</v>
      </c>
      <c r="J108" s="3" t="str">
        <f>Billetes_Brutos!O112</f>
        <v>Primera</v>
      </c>
      <c r="K108" s="3" t="str">
        <f>Billetes_Brutos!K112</f>
        <v>Reembolsado</v>
      </c>
      <c r="L108" s="4">
        <f>IF(Billetes_Brutos!L112="","Por confirmar",Billetes_Brutos!L112)</f>
        <v>74300</v>
      </c>
      <c r="M108" s="3" t="str">
        <f>Billetes_Brutos!M112</f>
        <v>06/02/2026</v>
      </c>
    </row>
    <row r="109" spans="1:13" ht="15" customHeight="1" x14ac:dyDescent="0.3">
      <c r="A109" s="3" t="str">
        <f>Billetes_Brutos!A113</f>
        <v>1136</v>
      </c>
      <c r="B109" s="3" t="str">
        <f>Billetes_Brutos!B113</f>
        <v>40</v>
      </c>
      <c r="C109" s="3" t="str">
        <f>Billetes_Brutos!C113</f>
        <v>Isabella Martinez</v>
      </c>
      <c r="D109" s="3" t="str">
        <f>IF(Billetes_Brutos!D113="","Sin correo",Billetes_Brutos!D113)</f>
        <v>isabella.martinez40@correo.co</v>
      </c>
      <c r="E109" s="3" t="str">
        <f>IF(Billetes_Brutos!E113="","No disponible",Billetes_Brutos!E113)</f>
        <v>03/06/1985</v>
      </c>
      <c r="F109" s="3" t="str">
        <f>Billetes_Brutos!F113</f>
        <v>Ocasional</v>
      </c>
      <c r="G109" s="3" t="str">
        <f>Billetes_Brutos!G113</f>
        <v>Cali</v>
      </c>
      <c r="H109" s="3" t="str">
        <f>Billetes_Brutos!H113</f>
        <v>Barranquilla</v>
      </c>
      <c r="I109" s="3" t="str">
        <f>Billetes_Brutos!I113</f>
        <v>04/06/2026</v>
      </c>
      <c r="J109" s="3" t="str">
        <f>Billetes_Brutos!O113</f>
        <v>Segunda</v>
      </c>
      <c r="K109" s="3" t="str">
        <f>Billetes_Brutos!K113</f>
        <v>Pagado</v>
      </c>
      <c r="L109" s="3" t="str">
        <f>IF(Billetes_Brutos!L113="","Por confirmar",Billetes_Brutos!L113)</f>
        <v>Por confirmar</v>
      </c>
      <c r="M109" s="3" t="str">
        <f>Billetes_Brutos!M113</f>
        <v>10/11/2025</v>
      </c>
    </row>
    <row r="110" spans="1:13" ht="15" customHeight="1" x14ac:dyDescent="0.3">
      <c r="A110" s="3" t="str">
        <f>Billetes_Brutos!A114</f>
        <v>1031</v>
      </c>
      <c r="B110" s="3" t="str">
        <f>Billetes_Brutos!B114</f>
        <v>47</v>
      </c>
      <c r="C110" s="3" t="str">
        <f>Billetes_Brutos!C114</f>
        <v>Sofia Ramirez</v>
      </c>
      <c r="D110" s="3" t="str">
        <f>IF(Billetes_Brutos!D114="","Sin correo",Billetes_Brutos!D114)</f>
        <v>sofia.ramirez47@correo.co</v>
      </c>
      <c r="E110" s="3" t="str">
        <f>IF(Billetes_Brutos!E114="","No disponible",Billetes_Brutos!E114)</f>
        <v>06/02/1991</v>
      </c>
      <c r="F110" s="3" t="str">
        <f>Billetes_Brutos!F114</f>
        <v>Ocasional</v>
      </c>
      <c r="G110" s="3" t="str">
        <f>Billetes_Brutos!G114</f>
        <v>Santa Marta</v>
      </c>
      <c r="H110" s="3" t="str">
        <f>Billetes_Brutos!H114</f>
        <v>Cali</v>
      </c>
      <c r="I110" s="3" t="str">
        <f>Billetes_Brutos!I114</f>
        <v>19/02/2026</v>
      </c>
      <c r="J110" s="3" t="str">
        <f>Billetes_Brutos!O114</f>
        <v>Segunda</v>
      </c>
      <c r="K110" s="3" t="str">
        <f>Billetes_Brutos!K114</f>
        <v>Pagado</v>
      </c>
      <c r="L110" s="4">
        <f>IF(Billetes_Brutos!L114="","Por confirmar",Billetes_Brutos!L114)</f>
        <v>250700</v>
      </c>
      <c r="M110" s="3" t="str">
        <f>Billetes_Brutos!M114</f>
        <v>15/12/2025</v>
      </c>
    </row>
    <row r="111" spans="1:13" ht="15" customHeight="1" x14ac:dyDescent="0.3">
      <c r="A111" s="3" t="str">
        <f>Billetes_Brutos!A115</f>
        <v>1024</v>
      </c>
      <c r="B111" s="3" t="str">
        <f>Billetes_Brutos!B115</f>
        <v>54</v>
      </c>
      <c r="C111" s="3" t="str">
        <f>Billetes_Brutos!C115</f>
        <v>Nicolas Gomez</v>
      </c>
      <c r="D111" s="3" t="str">
        <f>IF(Billetes_Brutos!D115="","Sin correo",Billetes_Brutos!D115)</f>
        <v>Sin correo</v>
      </c>
      <c r="E111" s="3" t="str">
        <f>IF(Billetes_Brutos!E115="","No disponible",Billetes_Brutos!E115)</f>
        <v>02/07/1978</v>
      </c>
      <c r="F111" s="3" t="str">
        <f>Billetes_Brutos!F115</f>
        <v>Abonado</v>
      </c>
      <c r="G111" s="3" t="str">
        <f>Billetes_Brutos!G115</f>
        <v>Manizales</v>
      </c>
      <c r="H111" s="3" t="str">
        <f>Billetes_Brutos!H115</f>
        <v>Santa Marta</v>
      </c>
      <c r="I111" s="3" t="str">
        <f>Billetes_Brutos!I115</f>
        <v>30/06/2026</v>
      </c>
      <c r="J111" s="3" t="str">
        <f>Billetes_Brutos!O115</f>
        <v>Segunda</v>
      </c>
      <c r="K111" s="3" t="str">
        <f>Billetes_Brutos!K115</f>
        <v>Pagado</v>
      </c>
      <c r="L111" s="4">
        <f>IF(Billetes_Brutos!L115="","Por confirmar",Billetes_Brutos!L115)</f>
        <v>304900</v>
      </c>
      <c r="M111" s="3" t="str">
        <f>Billetes_Brutos!M115</f>
        <v>26/04/2026</v>
      </c>
    </row>
    <row r="112" spans="1:13" ht="15" customHeight="1" x14ac:dyDescent="0.3">
      <c r="A112" s="3" t="str">
        <f>Billetes_Brutos!A116</f>
        <v>1061</v>
      </c>
      <c r="B112" s="3" t="str">
        <f>Billetes_Brutos!B116</f>
        <v>29</v>
      </c>
      <c r="C112" s="3" t="str">
        <f>Billetes_Brutos!C116</f>
        <v>Valentina Hernandez</v>
      </c>
      <c r="D112" s="3" t="str">
        <f>IF(Billetes_Brutos!D116="","Sin correo",Billetes_Brutos!D116)</f>
        <v>valentina.hernandez29@correo.co</v>
      </c>
      <c r="E112" s="3" t="str">
        <f>IF(Billetes_Brutos!E116="","No disponible",Billetes_Brutos!E116)</f>
        <v>03/11/1980</v>
      </c>
      <c r="F112" s="3" t="str">
        <f>Billetes_Brutos!F116</f>
        <v>Ocasional</v>
      </c>
      <c r="G112" s="3" t="str">
        <f>Billetes_Brutos!G116</f>
        <v>Manizales</v>
      </c>
      <c r="H112" s="3" t="str">
        <f>Billetes_Brutos!H116</f>
        <v>Medellin</v>
      </c>
      <c r="I112" s="3" t="str">
        <f>Billetes_Brutos!I116</f>
        <v>08/01/2026</v>
      </c>
      <c r="J112" s="3" t="str">
        <f>Billetes_Brutos!O116</f>
        <v>Segunda</v>
      </c>
      <c r="K112" s="3" t="str">
        <f>Billetes_Brutos!K116</f>
        <v>Pagado</v>
      </c>
      <c r="L112" s="4">
        <f>IF(Billetes_Brutos!L116="","Por confirmar",Billetes_Brutos!L116)</f>
        <v>88600</v>
      </c>
      <c r="M112" s="3" t="str">
        <f>Billetes_Brutos!M116</f>
        <v>22/03/2026</v>
      </c>
    </row>
    <row r="113" spans="1:13" ht="15" customHeight="1" x14ac:dyDescent="0.3">
      <c r="A113" s="3" t="str">
        <f>Billetes_Brutos!A117</f>
        <v>1078</v>
      </c>
      <c r="B113" s="3" t="str">
        <f>Billetes_Brutos!B117</f>
        <v>27</v>
      </c>
      <c r="C113" s="3" t="str">
        <f>Billetes_Brutos!C117</f>
        <v>Isabella Martinez</v>
      </c>
      <c r="D113" s="3" t="str">
        <f>IF(Billetes_Brutos!D117="","Sin correo",Billetes_Brutos!D117)</f>
        <v>Sin correo</v>
      </c>
      <c r="E113" s="3" t="str">
        <f>IF(Billetes_Brutos!E117="","No disponible",Billetes_Brutos!E117)</f>
        <v>No disponible</v>
      </c>
      <c r="F113" s="3" t="str">
        <f>Billetes_Brutos!F117</f>
        <v>Ocasional</v>
      </c>
      <c r="G113" s="3" t="str">
        <f>Billetes_Brutos!G117</f>
        <v>Medellin</v>
      </c>
      <c r="H113" s="3" t="str">
        <f>Billetes_Brutos!H117</f>
        <v>Cucuta</v>
      </c>
      <c r="I113" s="3" t="str">
        <f>Billetes_Brutos!I117</f>
        <v>02/03/2026</v>
      </c>
      <c r="J113" s="3" t="str">
        <f>Billetes_Brutos!O117</f>
        <v>Segunda</v>
      </c>
      <c r="K113" s="3" t="str">
        <f>Billetes_Brutos!K117</f>
        <v>Pagado</v>
      </c>
      <c r="L113" s="4">
        <f>IF(Billetes_Brutos!L117="","Por confirmar",Billetes_Brutos!L117)</f>
        <v>229400</v>
      </c>
      <c r="M113" s="3" t="str">
        <f>Billetes_Brutos!M117</f>
        <v>10/05/2026</v>
      </c>
    </row>
    <row r="114" spans="1:13" ht="15" customHeight="1" x14ac:dyDescent="0.3">
      <c r="A114" s="3" t="str">
        <f>Billetes_Brutos!A118</f>
        <v>1033</v>
      </c>
      <c r="B114" s="3" t="str">
        <f>Billetes_Brutos!B118</f>
        <v>33</v>
      </c>
      <c r="C114" s="3" t="str">
        <f>Billetes_Brutos!C118</f>
        <v>Paula Martinez</v>
      </c>
      <c r="D114" s="3" t="str">
        <f>IF(Billetes_Brutos!D118="","Sin correo",Billetes_Brutos!D118)</f>
        <v>paula.martinez33@correo.co</v>
      </c>
      <c r="E114" s="3" t="str">
        <f>IF(Billetes_Brutos!E118="","No disponible",Billetes_Brutos!E118)</f>
        <v>26/01/1985</v>
      </c>
      <c r="F114" s="3" t="str">
        <f>Billetes_Brutos!F118</f>
        <v>Abonado</v>
      </c>
      <c r="G114" s="3" t="str">
        <f>Billetes_Brutos!G118</f>
        <v>Barranquilla</v>
      </c>
      <c r="H114" s="3" t="str">
        <f>Billetes_Brutos!H118</f>
        <v>Cartagena</v>
      </c>
      <c r="I114" s="3" t="str">
        <f>Billetes_Brutos!I118</f>
        <v>27/02/2026</v>
      </c>
      <c r="J114" s="3" t="str">
        <f>Billetes_Brutos!O118</f>
        <v>Primera</v>
      </c>
      <c r="K114" s="3" t="str">
        <f>Billetes_Brutos!K118</f>
        <v>Pagado</v>
      </c>
      <c r="L114" s="3" t="str">
        <f>IF(Billetes_Brutos!L118="","Por confirmar",Billetes_Brutos!L118)</f>
        <v>Por confirmar</v>
      </c>
      <c r="M114" s="3" t="str">
        <f>Billetes_Brutos!M118</f>
        <v>02/03/2026</v>
      </c>
    </row>
    <row r="115" spans="1:13" ht="15" customHeight="1" x14ac:dyDescent="0.3">
      <c r="A115" s="3" t="str">
        <f>Billetes_Brutos!A119</f>
        <v>1088</v>
      </c>
      <c r="B115" s="3" t="str">
        <f>Billetes_Brutos!B119</f>
        <v>8</v>
      </c>
      <c r="C115" s="3" t="str">
        <f>Billetes_Brutos!C119</f>
        <v>Laura Gonzalez</v>
      </c>
      <c r="D115" s="3" t="str">
        <f>IF(Billetes_Brutos!D119="","Sin correo",Billetes_Brutos!D119)</f>
        <v>laura.gonzalez8@correo.co</v>
      </c>
      <c r="E115" s="3" t="str">
        <f>IF(Billetes_Brutos!E119="","No disponible",Billetes_Brutos!E119)</f>
        <v>10/12/1992</v>
      </c>
      <c r="F115" s="3" t="str">
        <f>Billetes_Brutos!F119</f>
        <v>Abonado</v>
      </c>
      <c r="G115" s="3" t="str">
        <f>Billetes_Brutos!G119</f>
        <v>Cartagena</v>
      </c>
      <c r="H115" s="3" t="str">
        <f>Billetes_Brutos!H119</f>
        <v>Cucuta</v>
      </c>
      <c r="I115" s="3" t="str">
        <f>Billetes_Brutos!I119</f>
        <v>01/04/2026</v>
      </c>
      <c r="J115" s="3" t="str">
        <f>Billetes_Brutos!O119</f>
        <v>Primera</v>
      </c>
      <c r="K115" s="3" t="str">
        <f>Billetes_Brutos!K119</f>
        <v>Pagado</v>
      </c>
      <c r="L115" s="4">
        <f>IF(Billetes_Brutos!L119="","Por confirmar",Billetes_Brutos!L119)</f>
        <v>225600</v>
      </c>
      <c r="M115" s="3" t="str">
        <f>Billetes_Brutos!M119</f>
        <v>28/12/2025</v>
      </c>
    </row>
    <row r="116" spans="1:13" ht="15" customHeight="1" x14ac:dyDescent="0.3">
      <c r="A116" s="3" t="str">
        <f>Billetes_Brutos!A120</f>
        <v>1102</v>
      </c>
      <c r="B116" s="3" t="str">
        <f>Billetes_Brutos!B120</f>
        <v>22</v>
      </c>
      <c r="C116" s="3" t="str">
        <f>Billetes_Brutos!C120</f>
        <v>Mateo Ramirez</v>
      </c>
      <c r="D116" s="3" t="str">
        <f>IF(Billetes_Brutos!D120="","Sin correo",Billetes_Brutos!D120)</f>
        <v>mateo.ramirez22@correo.co</v>
      </c>
      <c r="E116" s="3" t="str">
        <f>IF(Billetes_Brutos!E120="","No disponible",Billetes_Brutos!E120)</f>
        <v>No disponible</v>
      </c>
      <c r="F116" s="3" t="str">
        <f>Billetes_Brutos!F120</f>
        <v>Ocasional</v>
      </c>
      <c r="G116" s="3" t="str">
        <f>Billetes_Brutos!G120</f>
        <v>Manizales</v>
      </c>
      <c r="H116" s="3" t="str">
        <f>Billetes_Brutos!H120</f>
        <v>Santa Marta</v>
      </c>
      <c r="I116" s="3" t="str">
        <f>Billetes_Brutos!I120</f>
        <v>14/05/2026</v>
      </c>
      <c r="J116" s="3" t="str">
        <f>Billetes_Brutos!O120</f>
        <v>Segunda</v>
      </c>
      <c r="K116" s="3" t="str">
        <f>Billetes_Brutos!K120</f>
        <v>Pagado</v>
      </c>
      <c r="L116" s="4">
        <f>IF(Billetes_Brutos!L120="","Por confirmar",Billetes_Brutos!L120)</f>
        <v>122800</v>
      </c>
      <c r="M116" s="3" t="str">
        <f>Billetes_Brutos!M120</f>
        <v>13/02/2026</v>
      </c>
    </row>
    <row r="117" spans="1:13" ht="15" customHeight="1" x14ac:dyDescent="0.3">
      <c r="A117" s="3" t="str">
        <f>Billetes_Brutos!A121</f>
        <v>1082</v>
      </c>
      <c r="B117" s="3" t="str">
        <f>Billetes_Brutos!B121</f>
        <v>51</v>
      </c>
      <c r="C117" s="3" t="str">
        <f>Billetes_Brutos!C121</f>
        <v>Manuela Gomez</v>
      </c>
      <c r="D117" s="3" t="str">
        <f>IF(Billetes_Brutos!D121="","Sin correo",Billetes_Brutos!D121)</f>
        <v>manuela.gomez51@correo.co</v>
      </c>
      <c r="E117" s="3" t="str">
        <f>IF(Billetes_Brutos!E121="","No disponible",Billetes_Brutos!E121)</f>
        <v>30/08/1966</v>
      </c>
      <c r="F117" s="3" t="str">
        <f>Billetes_Brutos!F121</f>
        <v>Ocasional</v>
      </c>
      <c r="G117" s="3" t="str">
        <f>Billetes_Brutos!G121</f>
        <v>Cali</v>
      </c>
      <c r="H117" s="3" t="str">
        <f>Billetes_Brutos!H121</f>
        <v>Medellin</v>
      </c>
      <c r="I117" s="3" t="str">
        <f>Billetes_Brutos!I121</f>
        <v>19/06/2026</v>
      </c>
      <c r="J117" s="3" t="str">
        <f>Billetes_Brutos!O121</f>
        <v>Primera</v>
      </c>
      <c r="K117" s="3" t="str">
        <f>Billetes_Brutos!K121</f>
        <v>Pagado</v>
      </c>
      <c r="L117" s="4">
        <f>IF(Billetes_Brutos!L121="","Por confirmar",Billetes_Brutos!L121)</f>
        <v>261800</v>
      </c>
      <c r="M117" s="3" t="str">
        <f>Billetes_Brutos!M121</f>
        <v>31/03/2026</v>
      </c>
    </row>
    <row r="118" spans="1:13" ht="15" customHeight="1" x14ac:dyDescent="0.3">
      <c r="A118" s="3" t="str">
        <f>Billetes_Brutos!A122</f>
        <v>1127</v>
      </c>
      <c r="B118" s="3" t="str">
        <f>Billetes_Brutos!B122</f>
        <v>50</v>
      </c>
      <c r="C118" s="3" t="str">
        <f>Billetes_Brutos!C122</f>
        <v>Samuel Perez</v>
      </c>
      <c r="D118" s="3" t="str">
        <f>IF(Billetes_Brutos!D122="","Sin correo",Billetes_Brutos!D122)</f>
        <v>samuel.perez50@correo.co</v>
      </c>
      <c r="E118" s="3" t="str">
        <f>IF(Billetes_Brutos!E122="","No disponible",Billetes_Brutos!E122)</f>
        <v>20/02/1966</v>
      </c>
      <c r="F118" s="3" t="str">
        <f>Billetes_Brutos!F122</f>
        <v>Abonado</v>
      </c>
      <c r="G118" s="3" t="str">
        <f>Billetes_Brutos!G122</f>
        <v>Cartagena</v>
      </c>
      <c r="H118" s="3" t="str">
        <f>Billetes_Brutos!H122</f>
        <v>Cali</v>
      </c>
      <c r="I118" s="3" t="str">
        <f>Billetes_Brutos!I122</f>
        <v>11/02/2026</v>
      </c>
      <c r="J118" s="3" t="str">
        <f>Billetes_Brutos!O122</f>
        <v>Primera</v>
      </c>
      <c r="K118" s="3" t="str">
        <f>Billetes_Brutos!K122</f>
        <v>Reembolsado</v>
      </c>
      <c r="L118" s="4">
        <f>IF(Billetes_Brutos!L122="","Por confirmar",Billetes_Brutos!L122)</f>
        <v>305600</v>
      </c>
      <c r="M118" s="3" t="str">
        <f>Billetes_Brutos!M122</f>
        <v>13/03/2026</v>
      </c>
    </row>
    <row r="119" spans="1:13" ht="15" customHeight="1" x14ac:dyDescent="0.3">
      <c r="A119" s="3" t="str">
        <f>Billetes_Brutos!A123</f>
        <v>1092</v>
      </c>
      <c r="B119" s="3" t="str">
        <f>Billetes_Brutos!B123</f>
        <v>40</v>
      </c>
      <c r="C119" s="3" t="str">
        <f>Billetes_Brutos!C123</f>
        <v>Valentina Rodriguez</v>
      </c>
      <c r="D119" s="3" t="str">
        <f>IF(Billetes_Brutos!D123="","Sin correo",Billetes_Brutos!D123)</f>
        <v>valentina.rodriguez40@correo.co</v>
      </c>
      <c r="E119" s="3" t="str">
        <f>IF(Billetes_Brutos!E123="","No disponible",Billetes_Brutos!E123)</f>
        <v>28/07/1998</v>
      </c>
      <c r="F119" s="3" t="str">
        <f>Billetes_Brutos!F123</f>
        <v>Ocasional</v>
      </c>
      <c r="G119" s="3" t="str">
        <f>Billetes_Brutos!G123</f>
        <v>Pereira</v>
      </c>
      <c r="H119" s="3" t="str">
        <f>Billetes_Brutos!H123</f>
        <v>Cartagena</v>
      </c>
      <c r="I119" s="3" t="str">
        <f>Billetes_Brutos!I123</f>
        <v>25/02/2026</v>
      </c>
      <c r="J119" s="3" t="str">
        <f>Billetes_Brutos!O123</f>
        <v>Segunda</v>
      </c>
      <c r="K119" s="3" t="str">
        <f>Billetes_Brutos!K123</f>
        <v>Pagado</v>
      </c>
      <c r="L119" s="4">
        <f>IF(Billetes_Brutos!L123="","Por confirmar",Billetes_Brutos!L123)</f>
        <v>122900</v>
      </c>
      <c r="M119" s="3" t="str">
        <f>Billetes_Brutos!M123</f>
        <v>23/04/2026</v>
      </c>
    </row>
    <row r="120" spans="1:13" ht="15" customHeight="1" x14ac:dyDescent="0.3">
      <c r="A120" s="3" t="str">
        <f>Billetes_Brutos!A124</f>
        <v>1111</v>
      </c>
      <c r="B120" s="3" t="str">
        <f>Billetes_Brutos!B124</f>
        <v>15</v>
      </c>
      <c r="C120" s="3" t="str">
        <f>Billetes_Brutos!C124</f>
        <v>Santiago Gonzalez</v>
      </c>
      <c r="D120" s="3" t="str">
        <f>IF(Billetes_Brutos!D124="","Sin correo",Billetes_Brutos!D124)</f>
        <v>santiago.gonzalez15@correo.co</v>
      </c>
      <c r="E120" s="3" t="str">
        <f>IF(Billetes_Brutos!E124="","No disponible",Billetes_Brutos!E124)</f>
        <v>29/01/1985</v>
      </c>
      <c r="F120" s="3" t="str">
        <f>Billetes_Brutos!F124</f>
        <v>Abonado</v>
      </c>
      <c r="G120" s="3" t="str">
        <f>Billetes_Brutos!G124</f>
        <v>Cali</v>
      </c>
      <c r="H120" s="3" t="str">
        <f>Billetes_Brutos!H124</f>
        <v>Bogota Central</v>
      </c>
      <c r="I120" s="3" t="str">
        <f>Billetes_Brutos!I124</f>
        <v>15/03/2026</v>
      </c>
      <c r="J120" s="3" t="str">
        <f>Billetes_Brutos!O124</f>
        <v>Segunda</v>
      </c>
      <c r="K120" s="3" t="str">
        <f>Billetes_Brutos!K124</f>
        <v>Pagado</v>
      </c>
      <c r="L120" s="4">
        <f>IF(Billetes_Brutos!L124="","Por confirmar",Billetes_Brutos!L124)</f>
        <v>239000</v>
      </c>
      <c r="M120" s="3" t="str">
        <f>Billetes_Brutos!M124</f>
        <v>23/02/2026</v>
      </c>
    </row>
    <row r="121" spans="1:13" ht="15" customHeight="1" x14ac:dyDescent="0.3">
      <c r="A121" s="3" t="str">
        <f>Billetes_Brutos!A125</f>
        <v>1098</v>
      </c>
      <c r="B121" s="3" t="str">
        <f>Billetes_Brutos!B125</f>
        <v>16</v>
      </c>
      <c r="C121" s="3" t="str">
        <f>Billetes_Brutos!C125</f>
        <v>Isabella Martinez</v>
      </c>
      <c r="D121" s="3" t="str">
        <f>IF(Billetes_Brutos!D125="","Sin correo",Billetes_Brutos!D125)</f>
        <v>isabella.martinez16@correo.co</v>
      </c>
      <c r="E121" s="3" t="str">
        <f>IF(Billetes_Brutos!E125="","No disponible",Billetes_Brutos!E125)</f>
        <v>18/09/1968</v>
      </c>
      <c r="F121" s="3" t="str">
        <f>Billetes_Brutos!F125</f>
        <v>Abonado</v>
      </c>
      <c r="G121" s="3" t="str">
        <f>Billetes_Brutos!G125</f>
        <v>Cali</v>
      </c>
      <c r="H121" s="3" t="str">
        <f>Billetes_Brutos!H125</f>
        <v>Manizales</v>
      </c>
      <c r="I121" s="3" t="str">
        <f>Billetes_Brutos!I125</f>
        <v>29/04/2026</v>
      </c>
      <c r="J121" s="3" t="str">
        <f>Billetes_Brutos!O125</f>
        <v>Segunda</v>
      </c>
      <c r="K121" s="3" t="str">
        <f>Billetes_Brutos!K125</f>
        <v>Anulado</v>
      </c>
      <c r="L121" s="4">
        <f>IF(Billetes_Brutos!L125="","Por confirmar",Billetes_Brutos!L125)</f>
        <v>299100</v>
      </c>
      <c r="M121" s="3" t="str">
        <f>Billetes_Brutos!M125</f>
        <v>25/03/2026</v>
      </c>
    </row>
    <row r="122" spans="1:13" ht="15" customHeight="1" x14ac:dyDescent="0.3">
      <c r="A122" s="3" t="str">
        <f>Billetes_Brutos!A126</f>
        <v>1086</v>
      </c>
      <c r="B122" s="3" t="str">
        <f>Billetes_Brutos!B126</f>
        <v>55</v>
      </c>
      <c r="C122" s="3" t="str">
        <f>Billetes_Brutos!C126</f>
        <v>Gabriela Hernandez</v>
      </c>
      <c r="D122" s="3" t="str">
        <f>IF(Billetes_Brutos!D126="","Sin correo",Billetes_Brutos!D126)</f>
        <v>gabriela.hernandez55@correo.co</v>
      </c>
      <c r="E122" s="3" t="str">
        <f>IF(Billetes_Brutos!E126="","No disponible",Billetes_Brutos!E126)</f>
        <v>15/02/1992</v>
      </c>
      <c r="F122" s="3" t="str">
        <f>Billetes_Brutos!F126</f>
        <v>Ocasional</v>
      </c>
      <c r="G122" s="3" t="str">
        <f>Billetes_Brutos!G126</f>
        <v>Manizales</v>
      </c>
      <c r="H122" s="3" t="str">
        <f>Billetes_Brutos!H126</f>
        <v>Pereira</v>
      </c>
      <c r="I122" s="3" t="str">
        <f>Billetes_Brutos!I126</f>
        <v>17/04/2026</v>
      </c>
      <c r="J122" s="3" t="str">
        <f>Billetes_Brutos!O126</f>
        <v>Segunda</v>
      </c>
      <c r="K122" s="3" t="str">
        <f>Billetes_Brutos!K126</f>
        <v>Pagado</v>
      </c>
      <c r="L122" s="4">
        <f>IF(Billetes_Brutos!L126="","Por confirmar",Billetes_Brutos!L126)</f>
        <v>227900</v>
      </c>
      <c r="M122" s="3" t="str">
        <f>Billetes_Brutos!M126</f>
        <v>04/02/2026</v>
      </c>
    </row>
    <row r="123" spans="1:13" ht="15" customHeight="1" x14ac:dyDescent="0.3">
      <c r="A123" s="3" t="str">
        <f>Billetes_Brutos!A127</f>
        <v>1045</v>
      </c>
      <c r="B123" s="3" t="str">
        <f>Billetes_Brutos!B127</f>
        <v>42</v>
      </c>
      <c r="C123" s="3" t="str">
        <f>Billetes_Brutos!C127</f>
        <v>Juan Gomez</v>
      </c>
      <c r="D123" s="3" t="str">
        <f>IF(Billetes_Brutos!D127="","Sin correo",Billetes_Brutos!D127)</f>
        <v>juan.gomez42@correo.co</v>
      </c>
      <c r="E123" s="3" t="str">
        <f>IF(Billetes_Brutos!E127="","No disponible",Billetes_Brutos!E127)</f>
        <v>20/06/1964</v>
      </c>
      <c r="F123" s="3" t="str">
        <f>Billetes_Brutos!F127</f>
        <v>Ocasional</v>
      </c>
      <c r="G123" s="3" t="str">
        <f>Billetes_Brutos!G127</f>
        <v>Bucaramanga</v>
      </c>
      <c r="H123" s="3" t="str">
        <f>Billetes_Brutos!H127</f>
        <v>Manizales</v>
      </c>
      <c r="I123" s="3" t="str">
        <f>Billetes_Brutos!I127</f>
        <v>09/02/2026</v>
      </c>
      <c r="J123" s="3" t="str">
        <f>Billetes_Brutos!O127</f>
        <v>Segunda</v>
      </c>
      <c r="K123" s="3" t="str">
        <f>Billetes_Brutos!K127</f>
        <v>Pagado</v>
      </c>
      <c r="L123" s="4">
        <f>IF(Billetes_Brutos!L127="","Por confirmar",Billetes_Brutos!L127)</f>
        <v>223900</v>
      </c>
      <c r="M123" s="3" t="str">
        <f>Billetes_Brutos!M127</f>
        <v>07/04/2026</v>
      </c>
    </row>
    <row r="124" spans="1:13" ht="15" customHeight="1" x14ac:dyDescent="0.3">
      <c r="A124" s="3" t="str">
        <f>Billetes_Brutos!A128</f>
        <v>1069</v>
      </c>
      <c r="B124" s="3" t="str">
        <f>Billetes_Brutos!B128</f>
        <v>2</v>
      </c>
      <c r="C124" s="3" t="str">
        <f>Billetes_Brutos!C128</f>
        <v>Valentina Gonzalez</v>
      </c>
      <c r="D124" s="3" t="str">
        <f>IF(Billetes_Brutos!D128="","Sin correo",Billetes_Brutos!D128)</f>
        <v>valentina.gonzalez2@correo.co</v>
      </c>
      <c r="E124" s="3" t="str">
        <f>IF(Billetes_Brutos!E128="","No disponible",Billetes_Brutos!E128)</f>
        <v>17/08/1988</v>
      </c>
      <c r="F124" s="3" t="str">
        <f>Billetes_Brutos!F128</f>
        <v>Ocasional</v>
      </c>
      <c r="G124" s="3" t="str">
        <f>Billetes_Brutos!G128</f>
        <v>Cali</v>
      </c>
      <c r="H124" s="3" t="str">
        <f>Billetes_Brutos!H128</f>
        <v>Barranquilla</v>
      </c>
      <c r="I124" s="3" t="str">
        <f>Billetes_Brutos!I128</f>
        <v>16/05/2026</v>
      </c>
      <c r="J124" s="3" t="str">
        <f>Billetes_Brutos!O128</f>
        <v>Segunda</v>
      </c>
      <c r="K124" s="3" t="str">
        <f>Billetes_Brutos!K128</f>
        <v>Pagado</v>
      </c>
      <c r="L124" s="4">
        <f>IF(Billetes_Brutos!L128="","Por confirmar",Billetes_Brutos!L128)</f>
        <v>91700</v>
      </c>
      <c r="M124" s="3" t="str">
        <f>Billetes_Brutos!M128</f>
        <v>21/11/2025</v>
      </c>
    </row>
    <row r="125" spans="1:13" ht="15" customHeight="1" x14ac:dyDescent="0.3">
      <c r="A125" s="3" t="str">
        <f>Billetes_Brutos!A129</f>
        <v>1087</v>
      </c>
      <c r="B125" s="3" t="str">
        <f>Billetes_Brutos!B129</f>
        <v>10</v>
      </c>
      <c r="C125" s="3" t="str">
        <f>Billetes_Brutos!C129</f>
        <v>Paula Rodriguez</v>
      </c>
      <c r="D125" s="3" t="str">
        <f>IF(Billetes_Brutos!D129="","Sin correo",Billetes_Brutos!D129)</f>
        <v>Sin correo</v>
      </c>
      <c r="E125" s="3" t="str">
        <f>IF(Billetes_Brutos!E129="","No disponible",Billetes_Brutos!E129)</f>
        <v>No disponible</v>
      </c>
      <c r="F125" s="3" t="str">
        <f>Billetes_Brutos!F129</f>
        <v>Ocasional</v>
      </c>
      <c r="G125" s="3" t="str">
        <f>Billetes_Brutos!G129</f>
        <v>Medellin</v>
      </c>
      <c r="H125" s="3" t="str">
        <f>Billetes_Brutos!H129</f>
        <v>Bucaramanga</v>
      </c>
      <c r="I125" s="3" t="str">
        <f>Billetes_Brutos!I129</f>
        <v>03/02/2026</v>
      </c>
      <c r="J125" s="3" t="str">
        <f>Billetes_Brutos!O129</f>
        <v>Segunda</v>
      </c>
      <c r="K125" s="3" t="str">
        <f>Billetes_Brutos!K129</f>
        <v>Pagado</v>
      </c>
      <c r="L125" s="4">
        <f>IF(Billetes_Brutos!L129="","Por confirmar",Billetes_Brutos!L129)</f>
        <v>199500</v>
      </c>
      <c r="M125" s="3" t="str">
        <f>Billetes_Brutos!M129</f>
        <v>21/04/2026</v>
      </c>
    </row>
    <row r="126" spans="1:13" ht="15" customHeight="1" x14ac:dyDescent="0.3">
      <c r="A126" s="3" t="str">
        <f>Billetes_Brutos!A130</f>
        <v>1117</v>
      </c>
      <c r="B126" s="3" t="str">
        <f>Billetes_Brutos!B130</f>
        <v>33</v>
      </c>
      <c r="C126" s="3" t="str">
        <f>Billetes_Brutos!C130</f>
        <v>Andres Ramirez</v>
      </c>
      <c r="D126" s="3" t="str">
        <f>IF(Billetes_Brutos!D130="","Sin correo",Billetes_Brutos!D130)</f>
        <v>andres.ramirez33@correo.co</v>
      </c>
      <c r="E126" s="3" t="str">
        <f>IF(Billetes_Brutos!E130="","No disponible",Billetes_Brutos!E130)</f>
        <v>No disponible</v>
      </c>
      <c r="F126" s="3" t="str">
        <f>Billetes_Brutos!F130</f>
        <v>Abonado</v>
      </c>
      <c r="G126" s="3" t="str">
        <f>Billetes_Brutos!G130</f>
        <v>Cartagena</v>
      </c>
      <c r="H126" s="3" t="str">
        <f>Billetes_Brutos!H130</f>
        <v>Bucaramanga</v>
      </c>
      <c r="I126" s="3" t="str">
        <f>Billetes_Brutos!I130</f>
        <v>13/01/2026</v>
      </c>
      <c r="J126" s="3" t="str">
        <f>Billetes_Brutos!O130</f>
        <v>Segunda</v>
      </c>
      <c r="K126" s="3" t="str">
        <f>Billetes_Brutos!K130</f>
        <v>Pagado</v>
      </c>
      <c r="L126" s="4">
        <f>IF(Billetes_Brutos!L130="","Por confirmar",Billetes_Brutos!L130)</f>
        <v>146200</v>
      </c>
      <c r="M126" s="3" t="str">
        <f>Billetes_Brutos!M130</f>
        <v>16/06/2026</v>
      </c>
    </row>
    <row r="127" spans="1:13" ht="15" customHeight="1" x14ac:dyDescent="0.3">
      <c r="A127" s="3" t="str">
        <f>Billetes_Brutos!A131</f>
        <v>1044</v>
      </c>
      <c r="B127" s="3" t="str">
        <f>Billetes_Brutos!B131</f>
        <v>37</v>
      </c>
      <c r="C127" s="3" t="str">
        <f>Billetes_Brutos!C131</f>
        <v>Andres Perez</v>
      </c>
      <c r="D127" s="3" t="str">
        <f>IF(Billetes_Brutos!D131="","Sin correo",Billetes_Brutos!D131)</f>
        <v>andres.perez37@correo.co</v>
      </c>
      <c r="E127" s="3" t="str">
        <f>IF(Billetes_Brutos!E131="","No disponible",Billetes_Brutos!E131)</f>
        <v>14/10/1976</v>
      </c>
      <c r="F127" s="3" t="str">
        <f>Billetes_Brutos!F131</f>
        <v>Abonado</v>
      </c>
      <c r="G127" s="3" t="str">
        <f>Billetes_Brutos!G131</f>
        <v>Cartagena</v>
      </c>
      <c r="H127" s="3" t="str">
        <f>Billetes_Brutos!H131</f>
        <v>Medellin</v>
      </c>
      <c r="I127" s="3" t="str">
        <f>Billetes_Brutos!I131</f>
        <v>25/05/2026</v>
      </c>
      <c r="J127" s="3" t="str">
        <f>Billetes_Brutos!O131</f>
        <v>Primera</v>
      </c>
      <c r="K127" s="3" t="str">
        <f>Billetes_Brutos!K131</f>
        <v>Pagado</v>
      </c>
      <c r="L127" s="4">
        <f>IF(Billetes_Brutos!L131="","Por confirmar",Billetes_Brutos!L131)</f>
        <v>146900</v>
      </c>
      <c r="M127" s="3" t="str">
        <f>Billetes_Brutos!M131</f>
        <v>10/03/2026</v>
      </c>
    </row>
    <row r="128" spans="1:13" ht="15" customHeight="1" x14ac:dyDescent="0.3">
      <c r="A128" s="3" t="str">
        <f>Billetes_Brutos!A133</f>
        <v>1096</v>
      </c>
      <c r="B128" s="3" t="str">
        <f>Billetes_Brutos!B133</f>
        <v>52</v>
      </c>
      <c r="C128" s="3" t="str">
        <f>Billetes_Brutos!C133</f>
        <v>Manuela Sanchez</v>
      </c>
      <c r="D128" s="3" t="str">
        <f>IF(Billetes_Brutos!D133="","Sin correo",Billetes_Brutos!D133)</f>
        <v>manuela.sanchez52@correo.co</v>
      </c>
      <c r="E128" s="3" t="str">
        <f>IF(Billetes_Brutos!E133="","No disponible",Billetes_Brutos!E133)</f>
        <v>27/11/1962</v>
      </c>
      <c r="F128" s="3" t="str">
        <f>Billetes_Brutos!F133</f>
        <v>Ocasional</v>
      </c>
      <c r="G128" s="3" t="str">
        <f>Billetes_Brutos!G133</f>
        <v>Medellin</v>
      </c>
      <c r="H128" s="3" t="str">
        <f>Billetes_Brutos!H133</f>
        <v>Barranquilla</v>
      </c>
      <c r="I128" s="3" t="str">
        <f>Billetes_Brutos!I133</f>
        <v>22/04/2026</v>
      </c>
      <c r="J128" s="3" t="str">
        <f>Billetes_Brutos!O133</f>
        <v>Segunda</v>
      </c>
      <c r="K128" s="3" t="str">
        <f>Billetes_Brutos!K133</f>
        <v>Pagado</v>
      </c>
      <c r="L128" s="4">
        <f>IF(Billetes_Brutos!L133="","Por confirmar",Billetes_Brutos!L133)</f>
        <v>284400</v>
      </c>
      <c r="M128" s="3" t="str">
        <f>Billetes_Brutos!M133</f>
        <v>10/05/2026</v>
      </c>
    </row>
    <row r="129" spans="1:13" ht="15" customHeight="1" x14ac:dyDescent="0.3">
      <c r="A129" s="3" t="str">
        <f>Billetes_Brutos!A134</f>
        <v>1122</v>
      </c>
      <c r="B129" s="3" t="str">
        <f>Billetes_Brutos!B134</f>
        <v>5</v>
      </c>
      <c r="C129" s="3" t="str">
        <f>Billetes_Brutos!C134</f>
        <v>Diego Martinez</v>
      </c>
      <c r="D129" s="3" t="str">
        <f>IF(Billetes_Brutos!D134="","Sin correo",Billetes_Brutos!D134)</f>
        <v>diego.martinez5@correo.co</v>
      </c>
      <c r="E129" s="3" t="str">
        <f>IF(Billetes_Brutos!E134="","No disponible",Billetes_Brutos!E134)</f>
        <v>02/01/1980</v>
      </c>
      <c r="F129" s="3" t="str">
        <f>Billetes_Brutos!F134</f>
        <v>Abonado</v>
      </c>
      <c r="G129" s="3" t="str">
        <f>Billetes_Brutos!G134</f>
        <v>Medellin</v>
      </c>
      <c r="H129" s="3" t="str">
        <f>Billetes_Brutos!H134</f>
        <v>Bogota Central</v>
      </c>
      <c r="I129" s="3" t="str">
        <f>Billetes_Brutos!I134</f>
        <v>17/02/2026</v>
      </c>
      <c r="J129" s="3" t="str">
        <f>Billetes_Brutos!O134</f>
        <v>Segunda</v>
      </c>
      <c r="K129" s="3" t="str">
        <f>Billetes_Brutos!K134</f>
        <v>Pagado</v>
      </c>
      <c r="L129" s="4">
        <f>IF(Billetes_Brutos!L134="","Por confirmar",Billetes_Brutos!L134)</f>
        <v>77400</v>
      </c>
      <c r="M129" s="3" t="str">
        <f>Billetes_Brutos!M134</f>
        <v>18/05/2026</v>
      </c>
    </row>
    <row r="130" spans="1:13" ht="15" customHeight="1" x14ac:dyDescent="0.3">
      <c r="A130" s="3" t="str">
        <f>Billetes_Brutos!A135</f>
        <v>1083</v>
      </c>
      <c r="B130" s="3" t="str">
        <f>Billetes_Brutos!B135</f>
        <v>21</v>
      </c>
      <c r="C130" s="3" t="str">
        <f>Billetes_Brutos!C135</f>
        <v>Santiago Martinez</v>
      </c>
      <c r="D130" s="3" t="str">
        <f>IF(Billetes_Brutos!D135="","Sin correo",Billetes_Brutos!D135)</f>
        <v>santiago.martinez21@correo.co</v>
      </c>
      <c r="E130" s="3" t="str">
        <f>IF(Billetes_Brutos!E135="","No disponible",Billetes_Brutos!E135)</f>
        <v>07/10/1992</v>
      </c>
      <c r="F130" s="3" t="str">
        <f>Billetes_Brutos!F135</f>
        <v>Abonado</v>
      </c>
      <c r="G130" s="3" t="str">
        <f>Billetes_Brutos!G135</f>
        <v>Medellin</v>
      </c>
      <c r="H130" s="3" t="str">
        <f>Billetes_Brutos!H135</f>
        <v>Manizales</v>
      </c>
      <c r="I130" s="3" t="str">
        <f>Billetes_Brutos!I135</f>
        <v>25/04/2026</v>
      </c>
      <c r="J130" s="3" t="str">
        <f>Billetes_Brutos!O135</f>
        <v>Primera</v>
      </c>
      <c r="K130" s="3" t="str">
        <f>Billetes_Brutos!K135</f>
        <v>Pagado</v>
      </c>
      <c r="L130" s="4">
        <f>IF(Billetes_Brutos!L135="","Por confirmar",Billetes_Brutos!L135)</f>
        <v>183600</v>
      </c>
      <c r="M130" s="3" t="str">
        <f>Billetes_Brutos!M135</f>
        <v>07/04/2026</v>
      </c>
    </row>
    <row r="131" spans="1:13" ht="15" customHeight="1" x14ac:dyDescent="0.3">
      <c r="A131" s="3" t="str">
        <f>Billetes_Brutos!A136</f>
        <v>1053</v>
      </c>
      <c r="B131" s="3" t="str">
        <f>Billetes_Brutos!B136</f>
        <v>39</v>
      </c>
      <c r="C131" s="3" t="str">
        <f>Billetes_Brutos!C136</f>
        <v>Manuela Torres</v>
      </c>
      <c r="D131" s="3" t="str">
        <f>IF(Billetes_Brutos!D136="","Sin correo",Billetes_Brutos!D136)</f>
        <v>manuela.torres39@correo.co</v>
      </c>
      <c r="E131" s="3" t="str">
        <f>IF(Billetes_Brutos!E136="","No disponible",Billetes_Brutos!E136)</f>
        <v>02/06/1995</v>
      </c>
      <c r="F131" s="3" t="str">
        <f>Billetes_Brutos!F136</f>
        <v>Ocasional</v>
      </c>
      <c r="G131" s="3" t="str">
        <f>Billetes_Brutos!G136</f>
        <v>Cartagena</v>
      </c>
      <c r="H131" s="3" t="str">
        <f>Billetes_Brutos!H136</f>
        <v>Pereira</v>
      </c>
      <c r="I131" s="3" t="str">
        <f>Billetes_Brutos!I136</f>
        <v>20/03/2026</v>
      </c>
      <c r="J131" s="3" t="str">
        <f>Billetes_Brutos!O136</f>
        <v>Segunda</v>
      </c>
      <c r="K131" s="3" t="str">
        <f>Billetes_Brutos!K136</f>
        <v>Pagado</v>
      </c>
      <c r="L131" s="4">
        <f>IF(Billetes_Brutos!L136="","Por confirmar",Billetes_Brutos!L136)</f>
        <v>248500</v>
      </c>
      <c r="M131" s="3" t="str">
        <f>Billetes_Brutos!M136</f>
        <v>15/05/2026</v>
      </c>
    </row>
    <row r="132" spans="1:13" ht="15" customHeight="1" x14ac:dyDescent="0.3">
      <c r="A132" s="3" t="str">
        <f>Billetes_Brutos!A137</f>
        <v>1132</v>
      </c>
      <c r="B132" s="3" t="str">
        <f>Billetes_Brutos!B137</f>
        <v>18</v>
      </c>
      <c r="C132" s="3" t="str">
        <f>Billetes_Brutos!C137</f>
        <v>Julian Hernandez</v>
      </c>
      <c r="D132" s="3" t="str">
        <f>IF(Billetes_Brutos!D137="","Sin correo",Billetes_Brutos!D137)</f>
        <v>julian.hernandez18@correo.co</v>
      </c>
      <c r="E132" s="3" t="str">
        <f>IF(Billetes_Brutos!E137="","No disponible",Billetes_Brutos!E137)</f>
        <v>No disponible</v>
      </c>
      <c r="F132" s="3" t="str">
        <f>Billetes_Brutos!F137</f>
        <v>Ocasional</v>
      </c>
      <c r="G132" s="3" t="str">
        <f>Billetes_Brutos!G137</f>
        <v>Cucuta</v>
      </c>
      <c r="H132" s="3" t="str">
        <f>Billetes_Brutos!H137</f>
        <v>Pereira</v>
      </c>
      <c r="I132" s="3" t="str">
        <f>Billetes_Brutos!I137</f>
        <v>05/03/2026</v>
      </c>
      <c r="J132" s="3" t="str">
        <f>Billetes_Brutos!O137</f>
        <v>Primera</v>
      </c>
      <c r="K132" s="3" t="str">
        <f>Billetes_Brutos!K137</f>
        <v>Anulado</v>
      </c>
      <c r="L132" s="4">
        <f>IF(Billetes_Brutos!L137="","Por confirmar",Billetes_Brutos!L137)</f>
        <v>243300</v>
      </c>
      <c r="M132" s="3" t="str">
        <f>Billetes_Brutos!M137</f>
        <v>19/12/2025</v>
      </c>
    </row>
    <row r="133" spans="1:13" ht="15" customHeight="1" x14ac:dyDescent="0.3">
      <c r="A133" s="3" t="str">
        <f>Billetes_Brutos!A138</f>
        <v>1035</v>
      </c>
      <c r="B133" s="3" t="str">
        <f>Billetes_Brutos!B138</f>
        <v>56</v>
      </c>
      <c r="C133" s="3" t="str">
        <f>Billetes_Brutos!C138</f>
        <v>Isabella Perez</v>
      </c>
      <c r="D133" s="3" t="str">
        <f>IF(Billetes_Brutos!D138="","Sin correo",Billetes_Brutos!D138)</f>
        <v>isabella.perez56@correo.co</v>
      </c>
      <c r="E133" s="3" t="str">
        <f>IF(Billetes_Brutos!E138="","No disponible",Billetes_Brutos!E138)</f>
        <v>20/06/2001</v>
      </c>
      <c r="F133" s="3" t="str">
        <f>Billetes_Brutos!F138</f>
        <v>Ocasional</v>
      </c>
      <c r="G133" s="3" t="str">
        <f>Billetes_Brutos!G138</f>
        <v>Bogota Central</v>
      </c>
      <c r="H133" s="3" t="str">
        <f>Billetes_Brutos!H138</f>
        <v>Santa Marta</v>
      </c>
      <c r="I133" s="3" t="str">
        <f>Billetes_Brutos!I138</f>
        <v>05/03/2026</v>
      </c>
      <c r="J133" s="3" t="str">
        <f>Billetes_Brutos!O138</f>
        <v>Primera</v>
      </c>
      <c r="K133" s="3" t="str">
        <f>Billetes_Brutos!K138</f>
        <v>Pagado</v>
      </c>
      <c r="L133" s="4">
        <f>IF(Billetes_Brutos!L138="","Por confirmar",Billetes_Brutos!L138)</f>
        <v>228600</v>
      </c>
      <c r="M133" s="3" t="str">
        <f>Billetes_Brutos!M138</f>
        <v>24/03/2026</v>
      </c>
    </row>
    <row r="134" spans="1:13" ht="15" customHeight="1" x14ac:dyDescent="0.3">
      <c r="A134" s="3" t="str">
        <f>Billetes_Brutos!A139</f>
        <v>1015</v>
      </c>
      <c r="B134" s="3" t="str">
        <f>Billetes_Brutos!B139</f>
        <v>44</v>
      </c>
      <c r="C134" s="3" t="str">
        <f>Billetes_Brutos!C139</f>
        <v>Isabella Gomez</v>
      </c>
      <c r="D134" s="3" t="str">
        <f>IF(Billetes_Brutos!D139="","Sin correo",Billetes_Brutos!D139)</f>
        <v>isabella.gomez44@correo.co</v>
      </c>
      <c r="E134" s="3" t="str">
        <f>IF(Billetes_Brutos!E139="","No disponible",Billetes_Brutos!E139)</f>
        <v>20/10/1964</v>
      </c>
      <c r="F134" s="3" t="str">
        <f>Billetes_Brutos!F139</f>
        <v>Abonado</v>
      </c>
      <c r="G134" s="3" t="str">
        <f>Billetes_Brutos!G139</f>
        <v>Barranquilla</v>
      </c>
      <c r="H134" s="3" t="str">
        <f>Billetes_Brutos!H139</f>
        <v>Cucuta</v>
      </c>
      <c r="I134" s="3" t="str">
        <f>Billetes_Brutos!I139</f>
        <v>18/05/2026</v>
      </c>
      <c r="J134" s="3" t="str">
        <f>Billetes_Brutos!O139</f>
        <v>Segunda</v>
      </c>
      <c r="K134" s="3" t="str">
        <f>Billetes_Brutos!K139</f>
        <v>Pagado</v>
      </c>
      <c r="L134" s="4">
        <f>IF(Billetes_Brutos!L139="","Por confirmar",Billetes_Brutos!L139)</f>
        <v>172200</v>
      </c>
      <c r="M134" s="3" t="str">
        <f>Billetes_Brutos!M139</f>
        <v>12/06/2026</v>
      </c>
    </row>
    <row r="135" spans="1:13" ht="15" customHeight="1" x14ac:dyDescent="0.3">
      <c r="A135" s="3" t="str">
        <f>Billetes_Brutos!A140</f>
        <v>1120</v>
      </c>
      <c r="B135" s="3" t="str">
        <f>Billetes_Brutos!B140</f>
        <v>23</v>
      </c>
      <c r="C135" s="3" t="str">
        <f>Billetes_Brutos!C140</f>
        <v>Manuela Perez</v>
      </c>
      <c r="D135" s="3" t="str">
        <f>IF(Billetes_Brutos!D140="","Sin correo",Billetes_Brutos!D140)</f>
        <v>manuela.perez23@correo.co</v>
      </c>
      <c r="E135" s="3" t="str">
        <f>IF(Billetes_Brutos!E140="","No disponible",Billetes_Brutos!E140)</f>
        <v>23/02/1960</v>
      </c>
      <c r="F135" s="3" t="str">
        <f>Billetes_Brutos!F140</f>
        <v>Abonado</v>
      </c>
      <c r="G135" s="3" t="str">
        <f>Billetes_Brutos!G140</f>
        <v>Pereira</v>
      </c>
      <c r="H135" s="3" t="str">
        <f>Billetes_Brutos!H140</f>
        <v>Bucaramanga</v>
      </c>
      <c r="I135" s="3" t="str">
        <f>Billetes_Brutos!I140</f>
        <v>12/05/2026</v>
      </c>
      <c r="J135" s="3" t="str">
        <f>Billetes_Brutos!O140</f>
        <v>Segunda</v>
      </c>
      <c r="K135" s="3" t="str">
        <f>Billetes_Brutos!K140</f>
        <v>Pagado</v>
      </c>
      <c r="L135" s="4">
        <f>IF(Billetes_Brutos!L140="","Por confirmar",Billetes_Brutos!L140)</f>
        <v>84300</v>
      </c>
      <c r="M135" s="3" t="str">
        <f>Billetes_Brutos!M140</f>
        <v>05/04/2026</v>
      </c>
    </row>
    <row r="136" spans="1:13" ht="15" customHeight="1" x14ac:dyDescent="0.3">
      <c r="A136" s="3" t="str">
        <f>Billetes_Brutos!A141</f>
        <v>1128</v>
      </c>
      <c r="B136" s="3" t="str">
        <f>Billetes_Brutos!B141</f>
        <v>58</v>
      </c>
      <c r="C136" s="3" t="str">
        <f>Billetes_Brutos!C141</f>
        <v>Sofia Rodriguez</v>
      </c>
      <c r="D136" s="3" t="str">
        <f>IF(Billetes_Brutos!D141="","Sin correo",Billetes_Brutos!D141)</f>
        <v>sofia.rodriguez58@correo.co</v>
      </c>
      <c r="E136" s="3" t="str">
        <f>IF(Billetes_Brutos!E141="","No disponible",Billetes_Brutos!E141)</f>
        <v>01/06/2004</v>
      </c>
      <c r="F136" s="3" t="str">
        <f>Billetes_Brutos!F141</f>
        <v>Ocasional</v>
      </c>
      <c r="G136" s="3" t="str">
        <f>Billetes_Brutos!G141</f>
        <v>Cali</v>
      </c>
      <c r="H136" s="3" t="str">
        <f>Billetes_Brutos!H141</f>
        <v>Cartagena</v>
      </c>
      <c r="I136" s="3" t="str">
        <f>Billetes_Brutos!I141</f>
        <v>07/06/2026</v>
      </c>
      <c r="J136" s="3" t="str">
        <f>Billetes_Brutos!O141</f>
        <v>Segunda</v>
      </c>
      <c r="K136" s="3" t="str">
        <f>Billetes_Brutos!K141</f>
        <v>Pagado</v>
      </c>
      <c r="L136" s="4">
        <f>IF(Billetes_Brutos!L141="","Por confirmar",Billetes_Brutos!L141)</f>
        <v>207700</v>
      </c>
      <c r="M136" s="3" t="str">
        <f>Billetes_Brutos!M141</f>
        <v>29/03/2026</v>
      </c>
    </row>
    <row r="137" spans="1:13" ht="15" customHeight="1" x14ac:dyDescent="0.3">
      <c r="A137" s="3" t="str">
        <f>Billetes_Brutos!A143</f>
        <v>1052</v>
      </c>
      <c r="B137" s="3" t="str">
        <f>Billetes_Brutos!B143</f>
        <v>17</v>
      </c>
      <c r="C137" s="3" t="str">
        <f>Billetes_Brutos!C143</f>
        <v>Paula Rodriguez</v>
      </c>
      <c r="D137" s="3" t="str">
        <f>IF(Billetes_Brutos!D143="","Sin correo",Billetes_Brutos!D143)</f>
        <v>paula.rodriguez17@correo.co</v>
      </c>
      <c r="E137" s="3" t="str">
        <f>IF(Billetes_Brutos!E143="","No disponible",Billetes_Brutos!E143)</f>
        <v>24/08/1961</v>
      </c>
      <c r="F137" s="3" t="str">
        <f>Billetes_Brutos!F143</f>
        <v>Abonado</v>
      </c>
      <c r="G137" s="3" t="str">
        <f>Billetes_Brutos!G143</f>
        <v>Cali</v>
      </c>
      <c r="H137" s="3" t="str">
        <f>Billetes_Brutos!H143</f>
        <v>Cucuta</v>
      </c>
      <c r="I137" s="3" t="str">
        <f>Billetes_Brutos!I143</f>
        <v>25/05/2026</v>
      </c>
      <c r="J137" s="3" t="str">
        <f>Billetes_Brutos!O143</f>
        <v>Primera</v>
      </c>
      <c r="K137" s="3" t="str">
        <f>Billetes_Brutos!K143</f>
        <v>Pagado</v>
      </c>
      <c r="L137" s="4">
        <f>IF(Billetes_Brutos!L143="","Por confirmar",Billetes_Brutos!L143)</f>
        <v>198500</v>
      </c>
      <c r="M137" s="3" t="str">
        <f>Billetes_Brutos!M143</f>
        <v>15/02/2026</v>
      </c>
    </row>
    <row r="138" spans="1:13" ht="15" customHeight="1" x14ac:dyDescent="0.3">
      <c r="A138" s="3" t="str">
        <f>Billetes_Brutos!A144</f>
        <v>1105</v>
      </c>
      <c r="B138" s="3" t="str">
        <f>Billetes_Brutos!B144</f>
        <v>22</v>
      </c>
      <c r="C138" s="3" t="str">
        <f>Billetes_Brutos!C144</f>
        <v>Samuel Ramirez</v>
      </c>
      <c r="D138" s="3" t="str">
        <f>IF(Billetes_Brutos!D144="","Sin correo",Billetes_Brutos!D144)</f>
        <v>Sin correo</v>
      </c>
      <c r="E138" s="3" t="str">
        <f>IF(Billetes_Brutos!E144="","No disponible",Billetes_Brutos!E144)</f>
        <v>14/08/2000</v>
      </c>
      <c r="F138" s="3" t="str">
        <f>Billetes_Brutos!F144</f>
        <v>Ocasional</v>
      </c>
      <c r="G138" s="3" t="str">
        <f>Billetes_Brutos!G144</f>
        <v>Bogota Central</v>
      </c>
      <c r="H138" s="3" t="str">
        <f>Billetes_Brutos!H144</f>
        <v>Bucaramanga</v>
      </c>
      <c r="I138" s="3" t="str">
        <f>Billetes_Brutos!I144</f>
        <v>21/03/2026</v>
      </c>
      <c r="J138" s="3" t="str">
        <f>Billetes_Brutos!O144</f>
        <v>Primera</v>
      </c>
      <c r="K138" s="3" t="str">
        <f>Billetes_Brutos!K144</f>
        <v>Reembolsado</v>
      </c>
      <c r="L138" s="4">
        <f>IF(Billetes_Brutos!L144="","Por confirmar",Billetes_Brutos!L144)</f>
        <v>255700</v>
      </c>
      <c r="M138" s="3" t="str">
        <f>Billetes_Brutos!M144</f>
        <v>20/12/2025</v>
      </c>
    </row>
    <row r="139" spans="1:13" ht="15" customHeight="1" x14ac:dyDescent="0.3">
      <c r="A139" s="3" t="str">
        <f>Billetes_Brutos!A145</f>
        <v>1038</v>
      </c>
      <c r="B139" s="3" t="str">
        <f>Billetes_Brutos!B145</f>
        <v>25</v>
      </c>
      <c r="C139" s="3" t="str">
        <f>Billetes_Brutos!C145</f>
        <v>Samuel Hernandez</v>
      </c>
      <c r="D139" s="3" t="str">
        <f>IF(Billetes_Brutos!D145="","Sin correo",Billetes_Brutos!D145)</f>
        <v>Sin correo</v>
      </c>
      <c r="E139" s="3" t="str">
        <f>IF(Billetes_Brutos!E145="","No disponible",Billetes_Brutos!E145)</f>
        <v>06/09/2003</v>
      </c>
      <c r="F139" s="3" t="str">
        <f>Billetes_Brutos!F145</f>
        <v>Ocasional</v>
      </c>
      <c r="G139" s="3" t="str">
        <f>Billetes_Brutos!G145</f>
        <v>Pereira</v>
      </c>
      <c r="H139" s="3" t="str">
        <f>Billetes_Brutos!H145</f>
        <v>Bogota Central</v>
      </c>
      <c r="I139" s="3" t="str">
        <f>Billetes_Brutos!I145</f>
        <v>22/02/2026</v>
      </c>
      <c r="J139" s="3" t="str">
        <f>Billetes_Brutos!O145</f>
        <v>Segunda</v>
      </c>
      <c r="K139" s="3" t="str">
        <f>Billetes_Brutos!K145</f>
        <v>Pagado</v>
      </c>
      <c r="L139" s="4">
        <f>IF(Billetes_Brutos!L145="","Por confirmar",Billetes_Brutos!L145)</f>
        <v>305200</v>
      </c>
      <c r="M139" s="3" t="str">
        <f>Billetes_Brutos!M145</f>
        <v>06/11/2025</v>
      </c>
    </row>
    <row r="140" spans="1:13" ht="15" customHeight="1" x14ac:dyDescent="0.3">
      <c r="A140" s="3" t="str">
        <f>Billetes_Brutos!A146</f>
        <v>1107</v>
      </c>
      <c r="B140" s="3" t="str">
        <f>Billetes_Brutos!B146</f>
        <v>52</v>
      </c>
      <c r="C140" s="3" t="str">
        <f>Billetes_Brutos!C146</f>
        <v>Camila Sanchez</v>
      </c>
      <c r="D140" s="3" t="str">
        <f>IF(Billetes_Brutos!D146="","Sin correo",Billetes_Brutos!D146)</f>
        <v>Sin correo</v>
      </c>
      <c r="E140" s="3" t="str">
        <f>IF(Billetes_Brutos!E146="","No disponible",Billetes_Brutos!E146)</f>
        <v>23/04/1976</v>
      </c>
      <c r="F140" s="3" t="str">
        <f>Billetes_Brutos!F146</f>
        <v>Ocasional</v>
      </c>
      <c r="G140" s="3" t="str">
        <f>Billetes_Brutos!G146</f>
        <v>Cucuta</v>
      </c>
      <c r="H140" s="3" t="str">
        <f>Billetes_Brutos!H146</f>
        <v>Cartagena</v>
      </c>
      <c r="I140" s="3" t="str">
        <f>Billetes_Brutos!I146</f>
        <v>25/04/2026</v>
      </c>
      <c r="J140" s="3" t="str">
        <f>Billetes_Brutos!O146</f>
        <v>Primera</v>
      </c>
      <c r="K140" s="3" t="str">
        <f>Billetes_Brutos!K146</f>
        <v>Pagado</v>
      </c>
      <c r="L140" s="4">
        <f>IF(Billetes_Brutos!L146="","Por confirmar",Billetes_Brutos!L146)</f>
        <v>267400</v>
      </c>
      <c r="M140" s="3" t="str">
        <f>Billetes_Brutos!M146</f>
        <v>01/03/2026</v>
      </c>
    </row>
    <row r="141" spans="1:13" ht="15" customHeight="1" x14ac:dyDescent="0.3">
      <c r="A141" s="3" t="str">
        <f>Billetes_Brutos!A147</f>
        <v>1080</v>
      </c>
      <c r="B141" s="3" t="str">
        <f>Billetes_Brutos!B147</f>
        <v>55</v>
      </c>
      <c r="C141" s="3" t="str">
        <f>Billetes_Brutos!C147</f>
        <v>Daniela Rodriguez</v>
      </c>
      <c r="D141" s="3" t="str">
        <f>IF(Billetes_Brutos!D147="","Sin correo",Billetes_Brutos!D147)</f>
        <v>daniela.rodriguez55@correo.co</v>
      </c>
      <c r="E141" s="3" t="str">
        <f>IF(Billetes_Brutos!E147="","No disponible",Billetes_Brutos!E147)</f>
        <v>07/03/1987</v>
      </c>
      <c r="F141" s="3" t="str">
        <f>Billetes_Brutos!F147</f>
        <v>Abonado</v>
      </c>
      <c r="G141" s="3" t="str">
        <f>Billetes_Brutos!G147</f>
        <v>Pereira</v>
      </c>
      <c r="H141" s="3" t="str">
        <f>Billetes_Brutos!H147</f>
        <v>Cartagena</v>
      </c>
      <c r="I141" s="3" t="str">
        <f>Billetes_Brutos!I147</f>
        <v>18/02/2026</v>
      </c>
      <c r="J141" s="3" t="str">
        <f>Billetes_Brutos!O147</f>
        <v>Primera</v>
      </c>
      <c r="K141" s="3" t="str">
        <f>Billetes_Brutos!K147</f>
        <v>Reembolsado</v>
      </c>
      <c r="L141" s="4">
        <f>IF(Billetes_Brutos!L147="","Por confirmar",Billetes_Brutos!L147)</f>
        <v>70200</v>
      </c>
      <c r="M141" s="3" t="str">
        <f>Billetes_Brutos!M147</f>
        <v>25/12/2025</v>
      </c>
    </row>
    <row r="143" spans="1:13" ht="15" customHeight="1" x14ac:dyDescent="0.3">
      <c r="A143" s="5" t="s">
        <v>768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Billetes_Brutos</vt:lpstr>
      <vt:lpstr>Analisis_Formulas</vt:lpstr>
      <vt:lpstr>Referencias</vt:lpstr>
      <vt:lpstr>Billetes_Limpios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antoine poupon</cp:lastModifiedBy>
  <cp:revision>0</cp:revision>
  <dcterms:created xsi:type="dcterms:W3CDTF">2026-08-02T00:57:41Z</dcterms:created>
  <dcterms:modified xsi:type="dcterms:W3CDTF">2026-08-03T13:09:13Z</dcterms:modified>
  <dc:language>en-US</dc:language>
</cp:coreProperties>
</file>